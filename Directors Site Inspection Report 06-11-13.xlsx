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40" windowWidth="18975" windowHeight="8265"/>
  </bookViews>
  <sheets>
    <sheet name="Sheet1" sheetId="1" r:id="rId1"/>
    <sheet name="Sheet2" sheetId="2" r:id="rId2"/>
    <sheet name="Sheet3" sheetId="3" r:id="rId3"/>
  </sheets>
  <definedNames>
    <definedName name="OLE_LINK3" localSheetId="0">Sheet1!$C$42</definedName>
  </definedNames>
  <calcPr calcId="145621"/>
</workbook>
</file>

<file path=xl/calcChain.xml><?xml version="1.0" encoding="utf-8"?>
<calcChain xmlns="http://schemas.openxmlformats.org/spreadsheetml/2006/main">
  <c r="F13" i="1" l="1"/>
  <c r="H13" i="1" s="1"/>
  <c r="F15" i="1"/>
  <c r="H15" i="1" s="1"/>
  <c r="F17" i="1"/>
  <c r="H17" i="1" s="1"/>
  <c r="F19" i="1"/>
  <c r="H19" i="1" s="1"/>
  <c r="H21" i="1" l="1"/>
  <c r="I22" i="1" s="1"/>
  <c r="F21" i="1"/>
</calcChain>
</file>

<file path=xl/sharedStrings.xml><?xml version="1.0" encoding="utf-8"?>
<sst xmlns="http://schemas.openxmlformats.org/spreadsheetml/2006/main" count="215" uniqueCount="136">
  <si>
    <t>Date:</t>
  </si>
  <si>
    <t>Client</t>
  </si>
  <si>
    <t>Site Address:</t>
  </si>
  <si>
    <t>Recieved By:</t>
  </si>
  <si>
    <t>Signature:</t>
  </si>
  <si>
    <t>Number</t>
  </si>
  <si>
    <t xml:space="preserve">                  Accident Summary</t>
  </si>
  <si>
    <t xml:space="preserve">                Since Previous Audit</t>
  </si>
  <si>
    <t xml:space="preserve">                 Category</t>
  </si>
  <si>
    <t>Major Injury</t>
  </si>
  <si>
    <t>Dangerous Occurence</t>
  </si>
  <si>
    <t>First Aid Only</t>
  </si>
  <si>
    <t>Damage/ Near Miss</t>
  </si>
  <si>
    <t xml:space="preserve">        Priority Action</t>
  </si>
  <si>
    <t xml:space="preserve">             Summary</t>
  </si>
  <si>
    <t>STOP WORK IMEDIATELY</t>
  </si>
  <si>
    <t>Priority S - DANGER-</t>
  </si>
  <si>
    <t>Priority A</t>
  </si>
  <si>
    <t>IMEDIATE RECTIFICATION</t>
  </si>
  <si>
    <t>Priority B</t>
  </si>
  <si>
    <t>RECTIFICATION WITHIN 24HRS</t>
  </si>
  <si>
    <t>Priority C</t>
  </si>
  <si>
    <t>RECTIFICATION WITHIN 72HRS</t>
  </si>
  <si>
    <t>No.</t>
  </si>
  <si>
    <t>Points</t>
  </si>
  <si>
    <t>Totals</t>
  </si>
  <si>
    <t>Site Score</t>
  </si>
  <si>
    <t>Achievable</t>
  </si>
  <si>
    <t>Max Points</t>
  </si>
  <si>
    <t>/100 = R</t>
  </si>
  <si>
    <t>/R = T</t>
  </si>
  <si>
    <t>100 - T =</t>
  </si>
  <si>
    <t>TOTALS</t>
  </si>
  <si>
    <t>Principle Contractor</t>
  </si>
  <si>
    <t>Site manager</t>
  </si>
  <si>
    <t>Principle Contractor Requirements Only</t>
  </si>
  <si>
    <t>5.Welfare-Drying,Changing facilities</t>
  </si>
  <si>
    <t>8.Entry/Exit Procedure (Sign In/Out)</t>
  </si>
  <si>
    <t>1.Statuary Notices &amp; Signs</t>
  </si>
  <si>
    <t>4.Welfare - Canteen/Prep.</t>
  </si>
  <si>
    <t>7.Site Security/Public Protecion</t>
  </si>
  <si>
    <t>10.Fire/Planning/Extinguishers</t>
  </si>
  <si>
    <t>2.Construction H&amp;S Plan</t>
  </si>
  <si>
    <t>11.First Aid/Emergency/Accident info</t>
  </si>
  <si>
    <t>3.HASAW Poster</t>
  </si>
  <si>
    <t>6.Welfare-Toilets/Washing</t>
  </si>
  <si>
    <t>9.Traffic Mangement</t>
  </si>
  <si>
    <t>12.Lighting</t>
  </si>
  <si>
    <t>General Audit</t>
  </si>
  <si>
    <t>1.Insurance/Test Certs</t>
  </si>
  <si>
    <t>4.Method Statements-S/C</t>
  </si>
  <si>
    <t>5.Risk Assessments-S/C</t>
  </si>
  <si>
    <t>6.Launguage Control Measures</t>
  </si>
  <si>
    <t>7.Induction Training</t>
  </si>
  <si>
    <t>8.Vibration Usage Records/Info/Tags</t>
  </si>
  <si>
    <t>9.Lifting Plan</t>
  </si>
  <si>
    <t>11.Environmental-Waste Control</t>
  </si>
  <si>
    <t>12.Environmental-Animal</t>
  </si>
  <si>
    <t>13.Electricity-Supply/Equipment</t>
  </si>
  <si>
    <t>14.Equipment/Material-Delivery Control</t>
  </si>
  <si>
    <t>15.Construction Material Storage</t>
  </si>
  <si>
    <t>16.Portable Tools/P.A.Tests</t>
  </si>
  <si>
    <t>17.COSHH/Flammable Materials/Storage</t>
  </si>
  <si>
    <t>18.Lifting Equipment Storage</t>
  </si>
  <si>
    <t>22.Ladder/Scaffold Inspection</t>
  </si>
  <si>
    <t>23.Scaffold Guardrails/Edge Protection</t>
  </si>
  <si>
    <t>24.LOLER Inspection</t>
  </si>
  <si>
    <t>25.PUWER Inspections</t>
  </si>
  <si>
    <t>26.Height Safety/Equipment/Inspection</t>
  </si>
  <si>
    <t>27.Harness Inspection</t>
  </si>
  <si>
    <t>28.Crane Inspection</t>
  </si>
  <si>
    <t>29.Noise-Control &amp; hearing Protection</t>
  </si>
  <si>
    <t>32.Personnel Training Records(cscs etc)</t>
  </si>
  <si>
    <t>33.Toolbox Talks</t>
  </si>
  <si>
    <t>34.P.P.E-Onsite Usage</t>
  </si>
  <si>
    <t>35.Housekeeping</t>
  </si>
  <si>
    <t>36.Acess/Egress On Site</t>
  </si>
  <si>
    <t>37.Hot Works/Safety/permits</t>
  </si>
  <si>
    <t>38.Smoking</t>
  </si>
  <si>
    <t>General Comments &amp; Future Guidance:</t>
  </si>
  <si>
    <t>Site Description:</t>
  </si>
  <si>
    <t>Address:</t>
  </si>
  <si>
    <t>Date</t>
  </si>
  <si>
    <t>Signature</t>
  </si>
  <si>
    <t>Hazard Description</t>
  </si>
  <si>
    <t>Recommendations</t>
  </si>
  <si>
    <t>Priority</t>
  </si>
  <si>
    <t>S</t>
  </si>
  <si>
    <t>A</t>
  </si>
  <si>
    <t>B</t>
  </si>
  <si>
    <t>C</t>
  </si>
  <si>
    <t>Actions Taken</t>
  </si>
  <si>
    <t>2.Method Statements</t>
  </si>
  <si>
    <t>3.Risk Assessments</t>
  </si>
  <si>
    <t>Job Detail</t>
  </si>
  <si>
    <t>B - Action Required Within 24hrs          C - Action Required Within 72 hours            X - Not Applicable            * - Other Comment</t>
  </si>
  <si>
    <t>Job Detail:</t>
  </si>
  <si>
    <t>Safety Planning Provisions:</t>
  </si>
  <si>
    <t>%</t>
  </si>
  <si>
    <t xml:space="preserve">    √ - No Action Required At Present            S - Stop Work            A - Imediate Action Required</t>
  </si>
  <si>
    <t xml:space="preserve">     </t>
  </si>
  <si>
    <t>31.Leading Edges</t>
  </si>
  <si>
    <t>O/7 Day</t>
  </si>
  <si>
    <t>U/7 Day</t>
  </si>
  <si>
    <t xml:space="preserve">  Points Achieved</t>
  </si>
  <si>
    <t>19.WAH-Safety/Permits</t>
  </si>
  <si>
    <t>10.QA Documentation up to date</t>
  </si>
  <si>
    <t>20.Training Certification (SGB)</t>
  </si>
  <si>
    <t>30. Tower Scaffold/Set Up</t>
  </si>
  <si>
    <t>21. Training Certification (S/C)</t>
  </si>
  <si>
    <t>K30131</t>
  </si>
  <si>
    <t>K30131 - DeVere Gardens</t>
  </si>
  <si>
    <t>DeVere Gardens, 1 Victoria Road, London W8 5AF</t>
  </si>
  <si>
    <t>Sir Robert McAlpine</t>
  </si>
  <si>
    <t>Second London Wall</t>
  </si>
  <si>
    <t>√</t>
  </si>
  <si>
    <t>X</t>
  </si>
  <si>
    <t>Site was in reasonably good condition in most areas, some access issues were observed</t>
  </si>
  <si>
    <t>Page  2 of 2</t>
  </si>
  <si>
    <t>Page 1 of 2</t>
  </si>
  <si>
    <t>Rosemary Young</t>
  </si>
  <si>
    <t xml:space="preserve">DIRECTORS SITE SAFETY/ HEALTH/ </t>
  </si>
  <si>
    <t xml:space="preserve">WELFARE LOSS PREVENTION </t>
  </si>
  <si>
    <t>INSPECTION REPORT</t>
  </si>
  <si>
    <t>Director</t>
  </si>
  <si>
    <t>Graham Cox</t>
  </si>
  <si>
    <t>*</t>
  </si>
  <si>
    <t>17/02/2014</t>
  </si>
  <si>
    <t>Site Hours Monthly (Feb)</t>
  </si>
  <si>
    <t>All personnel were found with good PPE, Exclusion Zones were</t>
  </si>
  <si>
    <t xml:space="preserve"> being ignored by other trades, most notably the dry-liners</t>
  </si>
  <si>
    <t>with materials observed being carried up staircases in block C</t>
  </si>
  <si>
    <t>36*</t>
  </si>
  <si>
    <t>Trades were observed carrying materials up the staircase in Block C</t>
  </si>
  <si>
    <t xml:space="preserve">SRM to issue TBT requirement to ensure trades do not carry materials up emergency access </t>
  </si>
  <si>
    <t>Staircases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</si>
</sst>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name val="Calibri"/>
      <family val="2"/>
    </font>
    <font>
      <sz val="11"/>
      <color theme="1"/>
      <name val="Arial Narrow"/>
      <family val="2"/>
    </font>
    <font>
      <b/>
      <sz val="11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4"/>
      <color indexed="8"/>
      <name val="Arial Narrow"/>
      <family val="2"/>
    </font>
    <font>
      <b/>
      <sz val="9"/>
      <color indexed="8"/>
      <name val="Arial Narrow"/>
      <family val="2"/>
    </font>
    <font>
      <sz val="6"/>
      <color indexed="8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sz val="10"/>
      <color indexed="13"/>
      <name val="Arial Narrow"/>
      <family val="2"/>
    </font>
    <font>
      <b/>
      <sz val="10"/>
      <color theme="0"/>
      <name val="Arial Narrow"/>
      <family val="2"/>
    </font>
    <font>
      <sz val="11"/>
      <color indexed="13"/>
      <name val="Arial Narrow"/>
      <family val="2"/>
    </font>
    <font>
      <sz val="8"/>
      <name val="Arial Narrow"/>
      <family val="2"/>
    </font>
    <font>
      <sz val="7.75"/>
      <color indexed="8"/>
      <name val="Arial Narrow"/>
      <family val="2"/>
    </font>
    <font>
      <sz val="7.5"/>
      <color indexed="8"/>
      <name val="Arial Narrow"/>
      <family val="2"/>
    </font>
    <font>
      <sz val="10"/>
      <color theme="0"/>
      <name val="Arial Narrow"/>
      <family val="2"/>
    </font>
    <font>
      <sz val="11"/>
      <color theme="0"/>
      <name val="Arial Narrow"/>
      <family val="2"/>
    </font>
    <font>
      <b/>
      <sz val="11"/>
      <color rgb="FFFF0000"/>
      <name val="Arial Narrow"/>
      <family val="2"/>
    </font>
    <font>
      <b/>
      <sz val="11"/>
      <color indexed="8"/>
      <name val="Brush Script MT"/>
      <family val="4"/>
    </font>
  </fonts>
  <fills count="3">
    <fill>
      <patternFill patternType="none"/>
    </fill>
    <fill>
      <patternFill patternType="gray125"/>
    </fill>
    <fill>
      <patternFill patternType="solid">
        <fgColor rgb="FF5C9C8A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5C9C8A"/>
      </right>
      <top style="thin">
        <color indexed="64"/>
      </top>
      <bottom style="thin">
        <color indexed="64"/>
      </bottom>
      <diagonal/>
    </border>
    <border>
      <left style="medium">
        <color rgb="FF5C9C8A"/>
      </left>
      <right style="medium">
        <color rgb="FF5C9C8A"/>
      </right>
      <top style="thin">
        <color indexed="64"/>
      </top>
      <bottom style="thin">
        <color indexed="64"/>
      </bottom>
      <diagonal/>
    </border>
    <border>
      <left style="medium">
        <color rgb="FF5C9C8A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rgb="FF5C9C8A"/>
      </right>
      <top style="thin">
        <color theme="1"/>
      </top>
      <bottom style="medium">
        <color rgb="FF5C9C8A"/>
      </bottom>
      <diagonal/>
    </border>
    <border>
      <left style="medium">
        <color rgb="FF5C9C8A"/>
      </left>
      <right style="medium">
        <color rgb="FF5C9C8A"/>
      </right>
      <top style="thin">
        <color theme="1"/>
      </top>
      <bottom style="medium">
        <color rgb="FF5C9C8A"/>
      </bottom>
      <diagonal/>
    </border>
    <border>
      <left style="medium">
        <color rgb="FF5C9C8A"/>
      </left>
      <right style="thin">
        <color theme="1"/>
      </right>
      <top style="thin">
        <color theme="1"/>
      </top>
      <bottom style="medium">
        <color rgb="FF5C9C8A"/>
      </bottom>
      <diagonal/>
    </border>
    <border>
      <left style="thin">
        <color theme="1"/>
      </left>
      <right style="medium">
        <color rgb="FF5C9C8A"/>
      </right>
      <top style="medium">
        <color rgb="FF5C9C8A"/>
      </top>
      <bottom style="thin">
        <color theme="1"/>
      </bottom>
      <diagonal/>
    </border>
    <border>
      <left style="medium">
        <color rgb="FF5C9C8A"/>
      </left>
      <right style="medium">
        <color rgb="FF5C9C8A"/>
      </right>
      <top style="medium">
        <color rgb="FF5C9C8A"/>
      </top>
      <bottom style="thin">
        <color theme="1"/>
      </bottom>
      <diagonal/>
    </border>
    <border>
      <left style="medium">
        <color rgb="FF5C9C8A"/>
      </left>
      <right style="thin">
        <color theme="1"/>
      </right>
      <top style="medium">
        <color rgb="FF5C9C8A"/>
      </top>
      <bottom style="thin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6" xfId="0" applyFont="1" applyBorder="1"/>
    <xf numFmtId="0" fontId="1" fillId="0" borderId="14" xfId="0" applyFont="1" applyBorder="1"/>
    <xf numFmtId="0" fontId="3" fillId="0" borderId="39" xfId="0" applyFont="1" applyBorder="1"/>
    <xf numFmtId="0" fontId="4" fillId="0" borderId="38" xfId="0" applyFont="1" applyBorder="1" applyAlignment="1">
      <alignment horizontal="center"/>
    </xf>
    <xf numFmtId="0" fontId="4" fillId="0" borderId="3" xfId="0" applyFont="1" applyBorder="1"/>
    <xf numFmtId="0" fontId="5" fillId="0" borderId="37" xfId="0" applyFont="1" applyBorder="1"/>
    <xf numFmtId="0" fontId="6" fillId="0" borderId="3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0" xfId="0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Border="1"/>
    <xf numFmtId="0" fontId="5" fillId="0" borderId="12" xfId="0" applyFont="1" applyBorder="1"/>
    <xf numFmtId="0" fontId="3" fillId="0" borderId="0" xfId="0" applyFont="1"/>
    <xf numFmtId="0" fontId="6" fillId="0" borderId="0" xfId="0" applyFont="1" applyBorder="1"/>
    <xf numFmtId="0" fontId="3" fillId="0" borderId="2" xfId="0" applyFont="1" applyBorder="1"/>
    <xf numFmtId="0" fontId="4" fillId="0" borderId="29" xfId="0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7" fillId="0" borderId="0" xfId="0" applyFont="1" applyBorder="1" applyAlignment="1">
      <alignment horizontal="center"/>
    </xf>
    <xf numFmtId="0" fontId="5" fillId="0" borderId="30" xfId="0" applyFont="1" applyBorder="1"/>
    <xf numFmtId="0" fontId="5" fillId="0" borderId="7" xfId="0" applyFont="1" applyBorder="1"/>
    <xf numFmtId="0" fontId="5" fillId="0" borderId="5" xfId="0" applyFont="1" applyBorder="1"/>
    <xf numFmtId="0" fontId="5" fillId="0" borderId="15" xfId="0" applyFont="1" applyBorder="1"/>
    <xf numFmtId="0" fontId="5" fillId="0" borderId="31" xfId="0" applyFont="1" applyBorder="1"/>
    <xf numFmtId="0" fontId="5" fillId="0" borderId="16" xfId="0" applyFont="1" applyBorder="1" applyAlignment="1">
      <alignment horizontal="left"/>
    </xf>
    <xf numFmtId="0" fontId="5" fillId="0" borderId="9" xfId="0" applyFont="1" applyBorder="1"/>
    <xf numFmtId="0" fontId="5" fillId="0" borderId="6" xfId="0" applyFont="1" applyBorder="1"/>
    <xf numFmtId="0" fontId="6" fillId="0" borderId="6" xfId="0" applyFont="1" applyBorder="1"/>
    <xf numFmtId="0" fontId="3" fillId="0" borderId="34" xfId="0" applyFont="1" applyBorder="1"/>
    <xf numFmtId="0" fontId="5" fillId="0" borderId="24" xfId="0" applyFont="1" applyBorder="1"/>
    <xf numFmtId="0" fontId="5" fillId="0" borderId="17" xfId="0" applyFont="1" applyBorder="1" applyAlignment="1">
      <alignment wrapText="1"/>
    </xf>
    <xf numFmtId="0" fontId="5" fillId="0" borderId="29" xfId="0" applyFont="1" applyBorder="1"/>
    <xf numFmtId="0" fontId="5" fillId="0" borderId="14" xfId="0" applyFont="1" applyBorder="1"/>
    <xf numFmtId="0" fontId="5" fillId="0" borderId="16" xfId="0" applyFont="1" applyBorder="1"/>
    <xf numFmtId="0" fontId="5" fillId="0" borderId="35" xfId="0" applyFont="1" applyBorder="1"/>
    <xf numFmtId="0" fontId="8" fillId="0" borderId="16" xfId="0" applyFont="1" applyBorder="1"/>
    <xf numFmtId="0" fontId="6" fillId="0" borderId="5" xfId="0" applyFont="1" applyBorder="1"/>
    <xf numFmtId="0" fontId="3" fillId="0" borderId="25" xfId="0" applyFont="1" applyBorder="1"/>
    <xf numFmtId="0" fontId="5" fillId="0" borderId="32" xfId="0" applyFont="1" applyBorder="1"/>
    <xf numFmtId="0" fontId="5" fillId="0" borderId="10" xfId="0" applyFont="1" applyBorder="1"/>
    <xf numFmtId="0" fontId="5" fillId="0" borderId="17" xfId="0" applyFont="1" applyBorder="1"/>
    <xf numFmtId="0" fontId="5" fillId="0" borderId="4" xfId="0" applyFont="1" applyBorder="1"/>
    <xf numFmtId="0" fontId="5" fillId="0" borderId="8" xfId="0" applyFont="1" applyBorder="1"/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/>
    </xf>
    <xf numFmtId="0" fontId="3" fillId="0" borderId="33" xfId="0" applyFont="1" applyBorder="1"/>
    <xf numFmtId="0" fontId="5" fillId="0" borderId="13" xfId="0" applyFont="1" applyBorder="1"/>
    <xf numFmtId="0" fontId="5" fillId="0" borderId="3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11" xfId="0" applyFont="1" applyFill="1" applyBorder="1" applyAlignment="1">
      <alignment horizontal="center"/>
    </xf>
    <xf numFmtId="0" fontId="5" fillId="0" borderId="11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/>
    </xf>
    <xf numFmtId="0" fontId="5" fillId="0" borderId="11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5" fillId="0" borderId="10" xfId="0" applyFont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5" fillId="2" borderId="17" xfId="0" applyFont="1" applyFill="1" applyBorder="1"/>
    <xf numFmtId="0" fontId="5" fillId="0" borderId="8" xfId="0" applyFont="1" applyFill="1" applyBorder="1"/>
    <xf numFmtId="0" fontId="6" fillId="2" borderId="47" xfId="0" applyFont="1" applyFill="1" applyBorder="1"/>
    <xf numFmtId="0" fontId="6" fillId="2" borderId="48" xfId="0" applyFont="1" applyFill="1" applyBorder="1"/>
    <xf numFmtId="0" fontId="6" fillId="2" borderId="49" xfId="0" applyFont="1" applyFill="1" applyBorder="1"/>
    <xf numFmtId="0" fontId="11" fillId="0" borderId="13" xfId="0" applyFont="1" applyFill="1" applyBorder="1"/>
    <xf numFmtId="0" fontId="5" fillId="2" borderId="36" xfId="0" applyFont="1" applyFill="1" applyBorder="1"/>
    <xf numFmtId="2" fontId="5" fillId="0" borderId="11" xfId="0" applyNumberFormat="1" applyFont="1" applyFill="1" applyBorder="1" applyAlignment="1">
      <alignment horizontal="center"/>
    </xf>
    <xf numFmtId="0" fontId="12" fillId="0" borderId="29" xfId="0" applyFont="1" applyBorder="1"/>
    <xf numFmtId="0" fontId="12" fillId="0" borderId="14" xfId="0" applyFont="1" applyBorder="1"/>
    <xf numFmtId="0" fontId="13" fillId="0" borderId="0" xfId="0" applyFont="1" applyBorder="1"/>
    <xf numFmtId="0" fontId="13" fillId="0" borderId="9" xfId="0" applyFont="1" applyBorder="1"/>
    <xf numFmtId="2" fontId="13" fillId="0" borderId="9" xfId="0" applyNumberFormat="1" applyFont="1" applyBorder="1"/>
    <xf numFmtId="0" fontId="13" fillId="0" borderId="33" xfId="0" applyFont="1" applyBorder="1"/>
    <xf numFmtId="0" fontId="13" fillId="0" borderId="29" xfId="0" applyFont="1" applyBorder="1"/>
    <xf numFmtId="0" fontId="13" fillId="0" borderId="6" xfId="0" applyFont="1" applyBorder="1"/>
    <xf numFmtId="0" fontId="13" fillId="0" borderId="34" xfId="0" applyFont="1" applyBorder="1"/>
    <xf numFmtId="0" fontId="14" fillId="2" borderId="41" xfId="0" applyFont="1" applyFill="1" applyBorder="1"/>
    <xf numFmtId="0" fontId="14" fillId="2" borderId="42" xfId="0" applyFont="1" applyFill="1" applyBorder="1"/>
    <xf numFmtId="0" fontId="15" fillId="2" borderId="42" xfId="0" applyFont="1" applyFill="1" applyBorder="1"/>
    <xf numFmtId="0" fontId="16" fillId="2" borderId="43" xfId="0" applyFont="1" applyFill="1" applyBorder="1"/>
    <xf numFmtId="0" fontId="17" fillId="0" borderId="24" xfId="0" applyFont="1" applyBorder="1"/>
    <xf numFmtId="0" fontId="13" fillId="0" borderId="15" xfId="0" applyFont="1" applyBorder="1"/>
    <xf numFmtId="0" fontId="13" fillId="0" borderId="5" xfId="0" applyFont="1" applyBorder="1" applyAlignment="1">
      <alignment horizontal="left"/>
    </xf>
    <xf numFmtId="0" fontId="13" fillId="0" borderId="5" xfId="0" applyFont="1" applyBorder="1"/>
    <xf numFmtId="0" fontId="13" fillId="0" borderId="9" xfId="0" applyFont="1" applyBorder="1" applyAlignment="1">
      <alignment horizontal="left"/>
    </xf>
    <xf numFmtId="0" fontId="13" fillId="0" borderId="24" xfId="0" applyFont="1" applyBorder="1"/>
    <xf numFmtId="0" fontId="13" fillId="0" borderId="7" xfId="0" applyFont="1" applyBorder="1" applyAlignment="1">
      <alignment horizontal="left"/>
    </xf>
    <xf numFmtId="0" fontId="18" fillId="0" borderId="5" xfId="0" applyFont="1" applyBorder="1"/>
    <xf numFmtId="0" fontId="19" fillId="0" borderId="15" xfId="0" applyFont="1" applyBorder="1"/>
    <xf numFmtId="0" fontId="13" fillId="0" borderId="25" xfId="0" applyFont="1" applyBorder="1"/>
    <xf numFmtId="0" fontId="13" fillId="0" borderId="13" xfId="0" applyFont="1" applyBorder="1" applyAlignment="1">
      <alignment horizontal="left"/>
    </xf>
    <xf numFmtId="0" fontId="13" fillId="0" borderId="14" xfId="0" applyFont="1" applyBorder="1"/>
    <xf numFmtId="0" fontId="13" fillId="0" borderId="6" xfId="0" applyFont="1" applyBorder="1" applyAlignment="1">
      <alignment horizontal="left"/>
    </xf>
    <xf numFmtId="0" fontId="18" fillId="0" borderId="6" xfId="0" applyFont="1" applyBorder="1"/>
    <xf numFmtId="0" fontId="20" fillId="2" borderId="24" xfId="0" applyFont="1" applyFill="1" applyBorder="1"/>
    <xf numFmtId="0" fontId="20" fillId="2" borderId="5" xfId="0" applyFont="1" applyFill="1" applyBorder="1"/>
    <xf numFmtId="0" fontId="20" fillId="2" borderId="5" xfId="0" applyFont="1" applyFill="1" applyBorder="1" applyAlignment="1">
      <alignment horizontal="left"/>
    </xf>
    <xf numFmtId="0" fontId="15" fillId="2" borderId="5" xfId="0" applyFont="1" applyFill="1" applyBorder="1"/>
    <xf numFmtId="0" fontId="21" fillId="2" borderId="25" xfId="0" applyFont="1" applyFill="1" applyBorder="1"/>
    <xf numFmtId="0" fontId="13" fillId="0" borderId="32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4" fillId="0" borderId="32" xfId="0" applyFont="1" applyBorder="1"/>
    <xf numFmtId="0" fontId="4" fillId="0" borderId="15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6" xfId="0" applyFont="1" applyBorder="1"/>
    <xf numFmtId="0" fontId="5" fillId="0" borderId="27" xfId="0" applyFont="1" applyBorder="1"/>
    <xf numFmtId="0" fontId="8" fillId="0" borderId="28" xfId="0" applyFont="1" applyBorder="1"/>
    <xf numFmtId="0" fontId="8" fillId="0" borderId="0" xfId="0" applyFont="1" applyBorder="1"/>
    <xf numFmtId="0" fontId="5" fillId="0" borderId="11" xfId="0" applyFont="1" applyBorder="1" applyAlignment="1">
      <alignment horizontal="right"/>
    </xf>
    <xf numFmtId="0" fontId="5" fillId="0" borderId="18" xfId="0" applyFont="1" applyBorder="1" applyAlignment="1">
      <alignment horizontal="center"/>
    </xf>
    <xf numFmtId="0" fontId="9" fillId="0" borderId="11" xfId="0" applyFont="1" applyFill="1" applyBorder="1" applyAlignment="1">
      <alignment horizontal="left"/>
    </xf>
    <xf numFmtId="0" fontId="6" fillId="0" borderId="7" xfId="0" applyFont="1" applyBorder="1"/>
    <xf numFmtId="0" fontId="6" fillId="0" borderId="20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5" fillId="0" borderId="11" xfId="0" applyFont="1" applyBorder="1"/>
    <xf numFmtId="0" fontId="5" fillId="0" borderId="0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4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13" fillId="0" borderId="25" xfId="0" applyFont="1" applyBorder="1" applyAlignment="1">
      <alignment horizontal="left" vertical="center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5" fillId="0" borderId="11" xfId="0" applyFont="1" applyBorder="1"/>
    <xf numFmtId="0" fontId="5" fillId="0" borderId="0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4" xfId="0" applyFont="1" applyBorder="1"/>
    <xf numFmtId="0" fontId="6" fillId="0" borderId="11" xfId="0" applyFont="1" applyBorder="1"/>
    <xf numFmtId="0" fontId="6" fillId="0" borderId="0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6" xfId="0" applyFont="1" applyBorder="1"/>
    <xf numFmtId="0" fontId="6" fillId="0" borderId="14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6" fillId="0" borderId="52" xfId="0" applyFont="1" applyBorder="1"/>
    <xf numFmtId="0" fontId="6" fillId="0" borderId="50" xfId="0" applyFont="1" applyBorder="1"/>
    <xf numFmtId="0" fontId="6" fillId="0" borderId="27" xfId="0" applyFont="1" applyBorder="1"/>
    <xf numFmtId="0" fontId="5" fillId="0" borderId="52" xfId="0" applyFont="1" applyBorder="1"/>
    <xf numFmtId="0" fontId="5" fillId="0" borderId="50" xfId="0" applyFont="1" applyBorder="1"/>
    <xf numFmtId="0" fontId="5" fillId="0" borderId="51" xfId="0" applyFont="1" applyBorder="1"/>
    <xf numFmtId="0" fontId="4" fillId="0" borderId="24" xfId="0" applyFont="1" applyBorder="1"/>
    <xf numFmtId="0" fontId="4" fillId="0" borderId="5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50" xfId="0" applyFont="1" applyBorder="1"/>
    <xf numFmtId="0" fontId="4" fillId="0" borderId="51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7" xfId="0" applyFont="1" applyBorder="1"/>
    <xf numFmtId="0" fontId="5" fillId="0" borderId="5" xfId="0" applyFont="1" applyBorder="1"/>
    <xf numFmtId="0" fontId="5" fillId="0" borderId="15" xfId="0" applyFont="1" applyBorder="1"/>
    <xf numFmtId="14" fontId="6" fillId="0" borderId="7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/>
    <xf numFmtId="0" fontId="5" fillId="0" borderId="25" xfId="0" applyFont="1" applyBorder="1"/>
    <xf numFmtId="0" fontId="6" fillId="0" borderId="2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5" xfId="0" applyFont="1" applyBorder="1"/>
    <xf numFmtId="0" fontId="6" fillId="0" borderId="25" xfId="0" applyFont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3" xfId="0" applyFont="1" applyFill="1" applyBorder="1"/>
    <xf numFmtId="0" fontId="5" fillId="2" borderId="6" xfId="0" applyFont="1" applyFill="1" applyBorder="1"/>
    <xf numFmtId="0" fontId="6" fillId="0" borderId="2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0" borderId="24" xfId="0" applyFont="1" applyBorder="1"/>
    <xf numFmtId="0" fontId="5" fillId="0" borderId="7" xfId="0" applyFont="1" applyBorder="1"/>
    <xf numFmtId="14" fontId="6" fillId="0" borderId="7" xfId="0" quotePrefix="1" applyNumberFormat="1" applyFont="1" applyBorder="1" applyAlignment="1">
      <alignment horizontal="center"/>
    </xf>
    <xf numFmtId="14" fontId="6" fillId="0" borderId="15" xfId="0" quotePrefix="1" applyNumberFormat="1" applyFont="1" applyBorder="1" applyAlignment="1">
      <alignment horizontal="center"/>
    </xf>
    <xf numFmtId="0" fontId="23" fillId="0" borderId="7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2" fillId="0" borderId="1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C9C8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304007</xdr:colOff>
      <xdr:row>25</xdr:row>
      <xdr:rowOff>10319</xdr:rowOff>
    </xdr:from>
    <xdr:to>
      <xdr:col>2</xdr:col>
      <xdr:colOff>305595</xdr:colOff>
      <xdr:row>29</xdr:row>
      <xdr:rowOff>794</xdr:rowOff>
    </xdr:to>
    <xdr:cxnSp macro="">
      <xdr:nvCxnSpPr>
        <xdr:cNvPr id="4" name="Straight Connector 3"/>
        <xdr:cNvCxnSpPr/>
      </xdr:nvCxnSpPr>
      <xdr:spPr>
        <a:xfrm rot="5400000">
          <a:off x="1290638" y="5148263"/>
          <a:ext cx="7524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237332</xdr:colOff>
      <xdr:row>25</xdr:row>
      <xdr:rowOff>795</xdr:rowOff>
    </xdr:from>
    <xdr:to>
      <xdr:col>5</xdr:col>
      <xdr:colOff>238920</xdr:colOff>
      <xdr:row>28</xdr:row>
      <xdr:rowOff>181770</xdr:rowOff>
    </xdr:to>
    <xdr:cxnSp macro="">
      <xdr:nvCxnSpPr>
        <xdr:cNvPr id="5" name="Straight Connector 4"/>
        <xdr:cNvCxnSpPr/>
      </xdr:nvCxnSpPr>
      <xdr:spPr>
        <a:xfrm rot="5400000">
          <a:off x="3462338" y="5138739"/>
          <a:ext cx="7524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249238</xdr:colOff>
      <xdr:row>29</xdr:row>
      <xdr:rowOff>187327</xdr:rowOff>
    </xdr:from>
    <xdr:to>
      <xdr:col>2</xdr:col>
      <xdr:colOff>250826</xdr:colOff>
      <xdr:row>43</xdr:row>
      <xdr:rowOff>1</xdr:rowOff>
    </xdr:to>
    <xdr:cxnSp macro="">
      <xdr:nvCxnSpPr>
        <xdr:cNvPr id="7" name="Straight Connector 6"/>
        <xdr:cNvCxnSpPr/>
      </xdr:nvCxnSpPr>
      <xdr:spPr>
        <a:xfrm rot="5400000">
          <a:off x="502445" y="7355683"/>
          <a:ext cx="2495549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246351</xdr:colOff>
      <xdr:row>30</xdr:row>
      <xdr:rowOff>7216</xdr:rowOff>
    </xdr:from>
    <xdr:to>
      <xdr:col>5</xdr:col>
      <xdr:colOff>247650</xdr:colOff>
      <xdr:row>42</xdr:row>
      <xdr:rowOff>190499</xdr:rowOff>
    </xdr:to>
    <xdr:cxnSp macro="">
      <xdr:nvCxnSpPr>
        <xdr:cNvPr id="9" name="Straight Connector 8"/>
        <xdr:cNvCxnSpPr/>
      </xdr:nvCxnSpPr>
      <xdr:spPr>
        <a:xfrm rot="16200000" flipH="1">
          <a:off x="2714409" y="6956208"/>
          <a:ext cx="2469283" cy="129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43295</xdr:colOff>
      <xdr:row>0</xdr:row>
      <xdr:rowOff>43295</xdr:rowOff>
    </xdr:from>
    <xdr:to>
      <xdr:col>7</xdr:col>
      <xdr:colOff>147435</xdr:colOff>
      <xdr:row>4</xdr:row>
      <xdr:rowOff>86706</xdr:rowOff>
    </xdr:to>
    <xdr:pic>
      <xdr:nvPicPr>
        <xdr:cNvPr id="11" name="Picture 10" descr="SCHNEIDER Logo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8045" y="43295"/>
          <a:ext cx="1013345" cy="92230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517236</xdr:colOff>
      <xdr:row>30</xdr:row>
      <xdr:rowOff>2022</xdr:rowOff>
    </xdr:from>
    <xdr:to>
      <xdr:col>8</xdr:col>
      <xdr:colOff>519978</xdr:colOff>
      <xdr:row>43</xdr:row>
      <xdr:rowOff>0</xdr:rowOff>
    </xdr:to>
    <xdr:cxnSp macro="">
      <xdr:nvCxnSpPr>
        <xdr:cNvPr id="10" name="Straight Connector 9"/>
        <xdr:cNvCxnSpPr/>
      </xdr:nvCxnSpPr>
      <xdr:spPr>
        <a:xfrm rot="5400000">
          <a:off x="4312300" y="6952890"/>
          <a:ext cx="2474478" cy="27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516262</xdr:colOff>
      <xdr:row>25</xdr:row>
      <xdr:rowOff>8282</xdr:rowOff>
    </xdr:from>
    <xdr:to>
      <xdr:col>8</xdr:col>
      <xdr:colOff>521803</xdr:colOff>
      <xdr:row>29</xdr:row>
      <xdr:rowOff>8282</xdr:rowOff>
    </xdr:to>
    <xdr:cxnSp macro="">
      <xdr:nvCxnSpPr>
        <xdr:cNvPr id="12" name="Straight Connector 11"/>
        <xdr:cNvCxnSpPr/>
      </xdr:nvCxnSpPr>
      <xdr:spPr>
        <a:xfrm>
          <a:off x="5576936" y="5176630"/>
          <a:ext cx="5541" cy="762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249238</xdr:colOff>
      <xdr:row>29</xdr:row>
      <xdr:rowOff>187327</xdr:rowOff>
    </xdr:from>
    <xdr:to>
      <xdr:col>2</xdr:col>
      <xdr:colOff>250826</xdr:colOff>
      <xdr:row>43</xdr:row>
      <xdr:rowOff>1</xdr:rowOff>
    </xdr:to>
    <xdr:cxnSp macro="">
      <xdr:nvCxnSpPr>
        <xdr:cNvPr id="15" name="Straight Connector 14"/>
        <xdr:cNvCxnSpPr/>
      </xdr:nvCxnSpPr>
      <xdr:spPr>
        <a:xfrm rot="5400000">
          <a:off x="496095" y="7408070"/>
          <a:ext cx="2498724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246351</xdr:colOff>
      <xdr:row>30</xdr:row>
      <xdr:rowOff>7216</xdr:rowOff>
    </xdr:from>
    <xdr:to>
      <xdr:col>5</xdr:col>
      <xdr:colOff>247650</xdr:colOff>
      <xdr:row>42</xdr:row>
      <xdr:rowOff>190499</xdr:rowOff>
    </xdr:to>
    <xdr:cxnSp macro="">
      <xdr:nvCxnSpPr>
        <xdr:cNvPr id="16" name="Straight Connector 15"/>
        <xdr:cNvCxnSpPr/>
      </xdr:nvCxnSpPr>
      <xdr:spPr>
        <a:xfrm rot="16200000" flipH="1">
          <a:off x="2727109" y="7422933"/>
          <a:ext cx="2469283" cy="129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topLeftCell="A34" zoomScale="115" zoomScaleNormal="115" workbookViewId="0">
      <selection activeCell="A44" sqref="A44:J48"/>
    </sheetView>
  </sheetViews>
  <sheetFormatPr defaultRowHeight="15" x14ac:dyDescent="0.25"/>
  <cols>
    <col min="1" max="1" width="11.28515625" customWidth="1"/>
    <col min="2" max="2" width="11.140625" customWidth="1"/>
    <col min="3" max="3" width="7.7109375" customWidth="1"/>
    <col min="5" max="5" width="16.42578125" customWidth="1"/>
    <col min="6" max="6" width="7.140625" customWidth="1"/>
    <col min="7" max="8" width="6.42578125" customWidth="1"/>
    <col min="9" max="9" width="8.5703125" customWidth="1"/>
    <col min="10" max="10" width="2.7109375" customWidth="1"/>
  </cols>
  <sheetData>
    <row r="1" spans="1:10" ht="16.5" x14ac:dyDescent="0.3">
      <c r="A1" s="7"/>
      <c r="B1" s="8" t="s">
        <v>121</v>
      </c>
      <c r="C1" s="9"/>
      <c r="D1" s="10"/>
      <c r="E1" s="11"/>
      <c r="F1" s="11"/>
      <c r="G1" s="11"/>
      <c r="H1" s="11"/>
      <c r="I1" s="12"/>
      <c r="J1" s="13"/>
    </row>
    <row r="2" spans="1:10" ht="16.5" x14ac:dyDescent="0.3">
      <c r="A2" s="14"/>
      <c r="B2" s="15" t="s">
        <v>122</v>
      </c>
      <c r="C2" s="16"/>
      <c r="D2" s="17"/>
      <c r="E2" s="18"/>
      <c r="F2" s="18"/>
      <c r="G2" s="18"/>
      <c r="H2" s="19"/>
      <c r="I2" s="19"/>
      <c r="J2" s="20"/>
    </row>
    <row r="3" spans="1:10" ht="18.75" x14ac:dyDescent="0.3">
      <c r="A3" s="21"/>
      <c r="B3" s="22" t="s">
        <v>123</v>
      </c>
      <c r="C3" s="23"/>
      <c r="D3" s="17" t="s">
        <v>100</v>
      </c>
      <c r="E3" s="18"/>
      <c r="F3" s="18"/>
      <c r="G3" s="24"/>
      <c r="H3" s="19"/>
      <c r="I3" s="19"/>
      <c r="J3" s="20"/>
    </row>
    <row r="4" spans="1:10" ht="18.75" x14ac:dyDescent="0.3">
      <c r="A4" s="25" t="s">
        <v>96</v>
      </c>
      <c r="B4" s="138" t="s">
        <v>111</v>
      </c>
      <c r="C4" s="27"/>
      <c r="D4" s="28"/>
      <c r="E4" s="19"/>
      <c r="F4" s="19"/>
      <c r="G4" s="24"/>
      <c r="H4" s="19"/>
      <c r="I4" s="19"/>
      <c r="J4" s="20"/>
    </row>
    <row r="5" spans="1:10" ht="16.5" x14ac:dyDescent="0.3">
      <c r="A5" s="29" t="s">
        <v>119</v>
      </c>
      <c r="B5" s="30" t="s">
        <v>0</v>
      </c>
      <c r="C5" s="209" t="s">
        <v>127</v>
      </c>
      <c r="D5" s="210"/>
      <c r="E5" s="19"/>
      <c r="F5" s="19"/>
      <c r="G5" s="19"/>
      <c r="H5" s="19"/>
      <c r="I5" s="19"/>
      <c r="J5" s="20"/>
    </row>
    <row r="6" spans="1:10" ht="15" customHeight="1" x14ac:dyDescent="0.3">
      <c r="A6" s="25" t="s">
        <v>2</v>
      </c>
      <c r="B6" s="208"/>
      <c r="C6" s="188"/>
      <c r="D6" s="189"/>
      <c r="E6" s="18"/>
      <c r="F6" s="32"/>
      <c r="G6" s="33"/>
      <c r="H6" s="33"/>
      <c r="I6" s="33"/>
      <c r="J6" s="34"/>
    </row>
    <row r="7" spans="1:10" ht="16.5" x14ac:dyDescent="0.3">
      <c r="A7" s="204" t="s">
        <v>112</v>
      </c>
      <c r="B7" s="205"/>
      <c r="C7" s="205"/>
      <c r="D7" s="206"/>
      <c r="E7" s="36" t="s">
        <v>124</v>
      </c>
      <c r="F7" s="33" t="s">
        <v>125</v>
      </c>
      <c r="G7" s="33"/>
      <c r="H7" s="33"/>
      <c r="I7" s="33"/>
      <c r="J7" s="34"/>
    </row>
    <row r="8" spans="1:10" ht="16.5" x14ac:dyDescent="0.3">
      <c r="A8" s="207"/>
      <c r="B8" s="188"/>
      <c r="C8" s="188"/>
      <c r="D8" s="189"/>
      <c r="E8" s="39" t="s">
        <v>1</v>
      </c>
      <c r="F8" s="33" t="s">
        <v>114</v>
      </c>
      <c r="G8" s="33"/>
      <c r="H8" s="33"/>
      <c r="I8" s="33"/>
      <c r="J8" s="34"/>
    </row>
    <row r="9" spans="1:10" ht="16.5" x14ac:dyDescent="0.3">
      <c r="A9" s="40" t="s">
        <v>34</v>
      </c>
      <c r="B9" s="33" t="s">
        <v>120</v>
      </c>
      <c r="C9" s="32"/>
      <c r="D9" s="38"/>
      <c r="E9" s="41" t="s">
        <v>33</v>
      </c>
      <c r="F9" s="42" t="s">
        <v>113</v>
      </c>
      <c r="G9" s="42"/>
      <c r="H9" s="42"/>
      <c r="I9" s="42"/>
      <c r="J9" s="43"/>
    </row>
    <row r="10" spans="1:10" ht="16.5" customHeight="1" x14ac:dyDescent="0.25">
      <c r="A10" s="29" t="s">
        <v>3</v>
      </c>
      <c r="B10" s="33" t="s">
        <v>120</v>
      </c>
      <c r="C10" s="31"/>
      <c r="D10" s="27"/>
      <c r="E10" s="39" t="s">
        <v>4</v>
      </c>
      <c r="F10" s="211" t="s">
        <v>125</v>
      </c>
      <c r="G10" s="212"/>
      <c r="H10" s="212"/>
      <c r="I10" s="212"/>
      <c r="J10" s="213"/>
    </row>
    <row r="11" spans="1:10" ht="16.5" x14ac:dyDescent="0.3">
      <c r="A11" s="44" t="s">
        <v>6</v>
      </c>
      <c r="B11" s="31"/>
      <c r="C11" s="45"/>
      <c r="D11" s="31" t="s">
        <v>13</v>
      </c>
      <c r="E11" s="45"/>
      <c r="F11" s="46"/>
      <c r="G11" s="46"/>
      <c r="H11" s="46"/>
      <c r="I11" s="26"/>
      <c r="J11" s="43"/>
    </row>
    <row r="12" spans="1:10" ht="16.5" x14ac:dyDescent="0.3">
      <c r="A12" s="37" t="s">
        <v>7</v>
      </c>
      <c r="B12" s="32"/>
      <c r="C12" s="38"/>
      <c r="D12" s="32" t="s">
        <v>14</v>
      </c>
      <c r="E12" s="38"/>
      <c r="F12" s="46" t="s">
        <v>23</v>
      </c>
      <c r="G12" s="31" t="s">
        <v>24</v>
      </c>
      <c r="H12" s="46" t="s">
        <v>25</v>
      </c>
      <c r="I12" s="31" t="s">
        <v>26</v>
      </c>
      <c r="J12" s="20"/>
    </row>
    <row r="13" spans="1:10" ht="16.5" x14ac:dyDescent="0.3">
      <c r="A13" s="47" t="s">
        <v>8</v>
      </c>
      <c r="B13" s="17"/>
      <c r="C13" s="17" t="s">
        <v>5</v>
      </c>
      <c r="D13" s="48" t="s">
        <v>16</v>
      </c>
      <c r="E13" s="31"/>
      <c r="F13" s="49">
        <f>COUNTIF($C$26:$C$43,"s")+COUNTIF($F$26:$F$43,"s")+COUNTIF($J$26:$J$43,"s")+COUNTIF($I$26:$I$43,"s")</f>
        <v>0</v>
      </c>
      <c r="G13" s="50">
        <v>4</v>
      </c>
      <c r="H13" s="49">
        <f>F13*G13</f>
        <v>0</v>
      </c>
      <c r="I13" s="51" t="s">
        <v>28</v>
      </c>
      <c r="J13" s="52"/>
    </row>
    <row r="14" spans="1:10" ht="16.5" x14ac:dyDescent="0.3">
      <c r="A14" s="35" t="s">
        <v>128</v>
      </c>
      <c r="B14" s="28"/>
      <c r="C14" s="140">
        <v>1665</v>
      </c>
      <c r="D14" s="53" t="s">
        <v>15</v>
      </c>
      <c r="E14" s="32"/>
      <c r="F14" s="54"/>
      <c r="G14" s="55"/>
      <c r="H14" s="54"/>
      <c r="I14" s="56" t="s">
        <v>27</v>
      </c>
      <c r="J14" s="20"/>
    </row>
    <row r="15" spans="1:10" ht="16.5" x14ac:dyDescent="0.3">
      <c r="A15" s="47" t="s">
        <v>9</v>
      </c>
      <c r="B15" s="17"/>
      <c r="C15" s="141">
        <v>0</v>
      </c>
      <c r="D15" s="57" t="s">
        <v>17</v>
      </c>
      <c r="E15" s="58"/>
      <c r="F15" s="49">
        <f>COUNTIF($C$26:$C$43,"A")+COUNTIF($F$26:$F$43,"A")+COUNTIF($J$26:$J$43,"A")+COUNTIF($I$26:$I$43,"A")</f>
        <v>0</v>
      </c>
      <c r="G15" s="59">
        <v>3</v>
      </c>
      <c r="H15" s="49">
        <f>F15*G15</f>
        <v>0</v>
      </c>
      <c r="I15" s="56" t="s">
        <v>29</v>
      </c>
      <c r="J15" s="20"/>
    </row>
    <row r="16" spans="1:10" ht="16.5" x14ac:dyDescent="0.3">
      <c r="A16" s="35" t="s">
        <v>102</v>
      </c>
      <c r="B16" s="28"/>
      <c r="C16" s="141">
        <v>0</v>
      </c>
      <c r="D16" s="57" t="s">
        <v>18</v>
      </c>
      <c r="E16" s="58"/>
      <c r="F16" s="60"/>
      <c r="G16" s="59"/>
      <c r="H16" s="54"/>
      <c r="I16" s="137" t="s">
        <v>104</v>
      </c>
      <c r="J16" s="20"/>
    </row>
    <row r="17" spans="1:10" ht="16.5" x14ac:dyDescent="0.3">
      <c r="A17" s="47" t="s">
        <v>103</v>
      </c>
      <c r="B17" s="17"/>
      <c r="C17" s="141">
        <v>0</v>
      </c>
      <c r="D17" s="48" t="s">
        <v>19</v>
      </c>
      <c r="E17" s="31"/>
      <c r="F17" s="49">
        <f>COUNTIF($C$26:$C$43,"b")+COUNTIF($F$26:$F$43,"b")+COUNTIF($J$26:$J$43,"b")+COUNTIF($I$26:$I$43,"b")</f>
        <v>0</v>
      </c>
      <c r="G17" s="50">
        <v>2</v>
      </c>
      <c r="H17" s="49">
        <f>F17*G17</f>
        <v>0</v>
      </c>
      <c r="I17" s="56" t="s">
        <v>30</v>
      </c>
      <c r="J17" s="20"/>
    </row>
    <row r="18" spans="1:10" ht="16.5" x14ac:dyDescent="0.3">
      <c r="A18" s="35" t="s">
        <v>10</v>
      </c>
      <c r="B18" s="28"/>
      <c r="C18" s="141">
        <v>0</v>
      </c>
      <c r="D18" s="53" t="s">
        <v>20</v>
      </c>
      <c r="E18" s="32"/>
      <c r="F18" s="54"/>
      <c r="G18" s="55"/>
      <c r="H18" s="54"/>
      <c r="I18" s="61" t="s">
        <v>31</v>
      </c>
      <c r="J18" s="34"/>
    </row>
    <row r="19" spans="1:10" x14ac:dyDescent="0.25">
      <c r="A19" s="37" t="s">
        <v>11</v>
      </c>
      <c r="B19" s="38"/>
      <c r="C19" s="141">
        <v>0</v>
      </c>
      <c r="D19" s="62" t="s">
        <v>21</v>
      </c>
      <c r="E19" s="63"/>
      <c r="F19" s="49">
        <f>COUNTIF($C$26:$C$43,"c")+COUNTIF($F$26:$F$43,"c")+COUNTIF($J$26:$J$43,"c")+COUNTIF($I$26:$I$43,"c")</f>
        <v>0</v>
      </c>
      <c r="G19" s="64">
        <v>1</v>
      </c>
      <c r="H19" s="49">
        <f>F19*G19</f>
        <v>0</v>
      </c>
      <c r="I19" s="200"/>
      <c r="J19" s="201"/>
    </row>
    <row r="20" spans="1:10" x14ac:dyDescent="0.25">
      <c r="A20" s="44" t="s">
        <v>12</v>
      </c>
      <c r="B20" s="45"/>
      <c r="C20" s="141">
        <v>0</v>
      </c>
      <c r="D20" s="62" t="s">
        <v>22</v>
      </c>
      <c r="E20" s="63"/>
      <c r="F20" s="65"/>
      <c r="G20" s="66"/>
      <c r="H20" s="54"/>
      <c r="I20" s="202"/>
      <c r="J20" s="203"/>
    </row>
    <row r="21" spans="1:10" ht="17.25" thickBot="1" x14ac:dyDescent="0.35">
      <c r="A21" s="67"/>
      <c r="B21" s="68"/>
      <c r="C21" s="68"/>
      <c r="D21" s="69"/>
      <c r="E21" s="70" t="s">
        <v>32</v>
      </c>
      <c r="F21" s="71">
        <f>SUM(F13:F20)</f>
        <v>0</v>
      </c>
      <c r="G21" s="72"/>
      <c r="H21" s="70">
        <f>SUM(H13:H20)</f>
        <v>0</v>
      </c>
      <c r="I21" s="73" t="s">
        <v>26</v>
      </c>
      <c r="J21" s="52"/>
    </row>
    <row r="22" spans="1:10" ht="16.5" x14ac:dyDescent="0.3">
      <c r="A22" s="74"/>
      <c r="B22" s="75"/>
      <c r="C22" s="75"/>
      <c r="D22" s="76"/>
      <c r="E22" s="17"/>
      <c r="F22" s="77"/>
      <c r="G22" s="78"/>
      <c r="H22" s="17"/>
      <c r="I22" s="79">
        <f>100-(100/(200-(COUNTIF($C$26:$J$43,"X")*4)))*$H$21</f>
        <v>100</v>
      </c>
      <c r="J22" s="20" t="s">
        <v>98</v>
      </c>
    </row>
    <row r="23" spans="1:10" x14ac:dyDescent="0.25">
      <c r="A23" s="80" t="s">
        <v>97</v>
      </c>
      <c r="B23" s="81"/>
      <c r="C23" s="82" t="s">
        <v>99</v>
      </c>
      <c r="D23" s="82"/>
      <c r="E23" s="83"/>
      <c r="F23" s="83"/>
      <c r="G23" s="83"/>
      <c r="H23" s="83"/>
      <c r="I23" s="84"/>
      <c r="J23" s="85"/>
    </row>
    <row r="24" spans="1:10" x14ac:dyDescent="0.25">
      <c r="A24" s="86" t="s">
        <v>95</v>
      </c>
      <c r="B24" s="87"/>
      <c r="C24" s="87"/>
      <c r="D24" s="87"/>
      <c r="E24" s="87"/>
      <c r="F24" s="87"/>
      <c r="G24" s="87"/>
      <c r="H24" s="87"/>
      <c r="I24" s="87"/>
      <c r="J24" s="88"/>
    </row>
    <row r="25" spans="1:10" ht="16.5" x14ac:dyDescent="0.3">
      <c r="A25" s="89"/>
      <c r="B25" s="90"/>
      <c r="C25" s="90"/>
      <c r="D25" s="91" t="s">
        <v>35</v>
      </c>
      <c r="E25" s="90"/>
      <c r="F25" s="90"/>
      <c r="G25" s="90"/>
      <c r="H25" s="90"/>
      <c r="I25" s="90"/>
      <c r="J25" s="92"/>
    </row>
    <row r="26" spans="1:10" x14ac:dyDescent="0.25">
      <c r="A26" s="93" t="s">
        <v>38</v>
      </c>
      <c r="B26" s="94"/>
      <c r="C26" s="95" t="s">
        <v>115</v>
      </c>
      <c r="D26" s="96" t="s">
        <v>42</v>
      </c>
      <c r="E26" s="94"/>
      <c r="F26" s="97" t="s">
        <v>116</v>
      </c>
      <c r="G26" s="83" t="s">
        <v>44</v>
      </c>
      <c r="H26" s="83"/>
      <c r="I26" s="83"/>
      <c r="J26" s="85" t="s">
        <v>115</v>
      </c>
    </row>
    <row r="27" spans="1:10" x14ac:dyDescent="0.25">
      <c r="A27" s="98" t="s">
        <v>39</v>
      </c>
      <c r="B27" s="96"/>
      <c r="C27" s="99" t="s">
        <v>115</v>
      </c>
      <c r="D27" s="100" t="s">
        <v>36</v>
      </c>
      <c r="E27" s="101"/>
      <c r="F27" s="95" t="s">
        <v>115</v>
      </c>
      <c r="G27" s="96" t="s">
        <v>45</v>
      </c>
      <c r="H27" s="96"/>
      <c r="I27" s="96"/>
      <c r="J27" s="102" t="s">
        <v>115</v>
      </c>
    </row>
    <row r="28" spans="1:10" x14ac:dyDescent="0.25">
      <c r="A28" s="98" t="s">
        <v>40</v>
      </c>
      <c r="B28" s="96"/>
      <c r="C28" s="103" t="s">
        <v>115</v>
      </c>
      <c r="D28" s="87" t="s">
        <v>37</v>
      </c>
      <c r="E28" s="104"/>
      <c r="F28" s="105" t="s">
        <v>115</v>
      </c>
      <c r="G28" s="87" t="s">
        <v>46</v>
      </c>
      <c r="H28" s="87"/>
      <c r="I28" s="87"/>
      <c r="J28" s="88" t="s">
        <v>115</v>
      </c>
    </row>
    <row r="29" spans="1:10" x14ac:dyDescent="0.25">
      <c r="A29" s="86" t="s">
        <v>41</v>
      </c>
      <c r="B29" s="87"/>
      <c r="C29" s="103" t="s">
        <v>115</v>
      </c>
      <c r="D29" s="106" t="s">
        <v>43</v>
      </c>
      <c r="E29" s="104"/>
      <c r="F29" s="105" t="s">
        <v>115</v>
      </c>
      <c r="G29" s="87" t="s">
        <v>47</v>
      </c>
      <c r="H29" s="87"/>
      <c r="I29" s="87"/>
      <c r="J29" s="88" t="s">
        <v>115</v>
      </c>
    </row>
    <row r="30" spans="1:10" ht="16.5" x14ac:dyDescent="0.3">
      <c r="A30" s="107"/>
      <c r="B30" s="108"/>
      <c r="C30" s="109"/>
      <c r="D30" s="108"/>
      <c r="E30" s="110" t="s">
        <v>48</v>
      </c>
      <c r="F30" s="109"/>
      <c r="G30" s="108"/>
      <c r="H30" s="108"/>
      <c r="I30" s="108"/>
      <c r="J30" s="111"/>
    </row>
    <row r="31" spans="1:10" x14ac:dyDescent="0.25">
      <c r="A31" s="112" t="s">
        <v>49</v>
      </c>
      <c r="B31" s="113"/>
      <c r="C31" s="114" t="s">
        <v>115</v>
      </c>
      <c r="D31" s="115" t="s">
        <v>92</v>
      </c>
      <c r="E31" s="113"/>
      <c r="F31" s="115" t="s">
        <v>115</v>
      </c>
      <c r="G31" s="115" t="s">
        <v>93</v>
      </c>
      <c r="H31" s="115"/>
      <c r="I31" s="115"/>
      <c r="J31" s="116" t="s">
        <v>115</v>
      </c>
    </row>
    <row r="32" spans="1:10" x14ac:dyDescent="0.25">
      <c r="A32" s="117" t="s">
        <v>50</v>
      </c>
      <c r="B32" s="118"/>
      <c r="C32" s="114" t="s">
        <v>115</v>
      </c>
      <c r="D32" s="118" t="s">
        <v>51</v>
      </c>
      <c r="E32" s="119"/>
      <c r="F32" s="115" t="s">
        <v>115</v>
      </c>
      <c r="G32" s="118" t="s">
        <v>52</v>
      </c>
      <c r="H32" s="118"/>
      <c r="I32" s="118"/>
      <c r="J32" s="116" t="s">
        <v>115</v>
      </c>
    </row>
    <row r="33" spans="1:10" x14ac:dyDescent="0.25">
      <c r="A33" s="120" t="s">
        <v>53</v>
      </c>
      <c r="B33" s="121"/>
      <c r="C33" s="114" t="s">
        <v>115</v>
      </c>
      <c r="D33" s="122" t="s">
        <v>54</v>
      </c>
      <c r="E33" s="121"/>
      <c r="F33" s="115" t="s">
        <v>116</v>
      </c>
      <c r="G33" s="122" t="s">
        <v>55</v>
      </c>
      <c r="H33" s="122"/>
      <c r="I33" s="122"/>
      <c r="J33" s="116" t="s">
        <v>115</v>
      </c>
    </row>
    <row r="34" spans="1:10" x14ac:dyDescent="0.25">
      <c r="A34" s="117" t="s">
        <v>106</v>
      </c>
      <c r="B34" s="118"/>
      <c r="C34" s="114" t="s">
        <v>115</v>
      </c>
      <c r="D34" s="118" t="s">
        <v>56</v>
      </c>
      <c r="E34" s="119"/>
      <c r="F34" s="115" t="s">
        <v>115</v>
      </c>
      <c r="G34" s="118" t="s">
        <v>57</v>
      </c>
      <c r="H34" s="118"/>
      <c r="I34" s="118"/>
      <c r="J34" s="116" t="s">
        <v>116</v>
      </c>
    </row>
    <row r="35" spans="1:10" x14ac:dyDescent="0.25">
      <c r="A35" s="120" t="s">
        <v>58</v>
      </c>
      <c r="B35" s="121"/>
      <c r="C35" s="114" t="s">
        <v>115</v>
      </c>
      <c r="D35" s="122" t="s">
        <v>59</v>
      </c>
      <c r="E35" s="121"/>
      <c r="F35" s="115" t="s">
        <v>115</v>
      </c>
      <c r="G35" s="122" t="s">
        <v>60</v>
      </c>
      <c r="H35" s="122"/>
      <c r="I35" s="122"/>
      <c r="J35" s="116" t="s">
        <v>115</v>
      </c>
    </row>
    <row r="36" spans="1:10" x14ac:dyDescent="0.25">
      <c r="A36" s="117" t="s">
        <v>61</v>
      </c>
      <c r="B36" s="118"/>
      <c r="C36" s="114" t="s">
        <v>115</v>
      </c>
      <c r="D36" s="118" t="s">
        <v>62</v>
      </c>
      <c r="E36" s="119"/>
      <c r="F36" s="115" t="s">
        <v>115</v>
      </c>
      <c r="G36" s="118" t="s">
        <v>63</v>
      </c>
      <c r="H36" s="118"/>
      <c r="I36" s="118"/>
      <c r="J36" s="116" t="s">
        <v>115</v>
      </c>
    </row>
    <row r="37" spans="1:10" x14ac:dyDescent="0.25">
      <c r="A37" s="120" t="s">
        <v>105</v>
      </c>
      <c r="B37" s="121"/>
      <c r="C37" s="114" t="s">
        <v>116</v>
      </c>
      <c r="D37" s="122" t="s">
        <v>107</v>
      </c>
      <c r="E37" s="121"/>
      <c r="F37" s="115" t="s">
        <v>115</v>
      </c>
      <c r="G37" s="122" t="s">
        <v>109</v>
      </c>
      <c r="H37" s="122"/>
      <c r="I37" s="122"/>
      <c r="J37" s="116" t="s">
        <v>115</v>
      </c>
    </row>
    <row r="38" spans="1:10" x14ac:dyDescent="0.25">
      <c r="A38" s="117" t="s">
        <v>64</v>
      </c>
      <c r="B38" s="118"/>
      <c r="C38" s="114" t="s">
        <v>115</v>
      </c>
      <c r="D38" s="118" t="s">
        <v>65</v>
      </c>
      <c r="E38" s="119"/>
      <c r="F38" s="115" t="s">
        <v>115</v>
      </c>
      <c r="G38" s="118" t="s">
        <v>66</v>
      </c>
      <c r="H38" s="118"/>
      <c r="I38" s="118"/>
      <c r="J38" s="116" t="s">
        <v>115</v>
      </c>
    </row>
    <row r="39" spans="1:10" x14ac:dyDescent="0.25">
      <c r="A39" s="120" t="s">
        <v>67</v>
      </c>
      <c r="B39" s="121"/>
      <c r="C39" s="114" t="s">
        <v>115</v>
      </c>
      <c r="D39" s="122" t="s">
        <v>68</v>
      </c>
      <c r="E39" s="121"/>
      <c r="F39" s="115" t="s">
        <v>116</v>
      </c>
      <c r="G39" s="122" t="s">
        <v>69</v>
      </c>
      <c r="H39" s="122"/>
      <c r="I39" s="122"/>
      <c r="J39" s="116" t="s">
        <v>116</v>
      </c>
    </row>
    <row r="40" spans="1:10" x14ac:dyDescent="0.25">
      <c r="A40" s="117" t="s">
        <v>70</v>
      </c>
      <c r="B40" s="118"/>
      <c r="C40" s="114" t="s">
        <v>116</v>
      </c>
      <c r="D40" s="118" t="s">
        <v>71</v>
      </c>
      <c r="E40" s="119"/>
      <c r="F40" s="115" t="s">
        <v>116</v>
      </c>
      <c r="G40" s="118" t="s">
        <v>108</v>
      </c>
      <c r="H40" s="118"/>
      <c r="I40" s="118"/>
      <c r="J40" s="116" t="s">
        <v>115</v>
      </c>
    </row>
    <row r="41" spans="1:10" x14ac:dyDescent="0.25">
      <c r="A41" s="120" t="s">
        <v>101</v>
      </c>
      <c r="B41" s="121"/>
      <c r="C41" s="114" t="s">
        <v>116</v>
      </c>
      <c r="D41" s="122" t="s">
        <v>72</v>
      </c>
      <c r="E41" s="121"/>
      <c r="F41" s="115" t="s">
        <v>115</v>
      </c>
      <c r="G41" s="122" t="s">
        <v>73</v>
      </c>
      <c r="H41" s="122"/>
      <c r="I41" s="122"/>
      <c r="J41" s="116" t="s">
        <v>115</v>
      </c>
    </row>
    <row r="42" spans="1:10" x14ac:dyDescent="0.25">
      <c r="A42" s="117" t="s">
        <v>74</v>
      </c>
      <c r="B42" s="118"/>
      <c r="C42" s="114" t="s">
        <v>115</v>
      </c>
      <c r="D42" s="118" t="s">
        <v>75</v>
      </c>
      <c r="E42" s="119"/>
      <c r="F42" s="115" t="s">
        <v>115</v>
      </c>
      <c r="G42" s="118" t="s">
        <v>76</v>
      </c>
      <c r="H42" s="118"/>
      <c r="I42" s="118"/>
      <c r="J42" s="153" t="s">
        <v>126</v>
      </c>
    </row>
    <row r="43" spans="1:10" x14ac:dyDescent="0.25">
      <c r="A43" s="123" t="s">
        <v>77</v>
      </c>
      <c r="B43" s="124"/>
      <c r="C43" s="114" t="s">
        <v>115</v>
      </c>
      <c r="D43" s="125" t="s">
        <v>78</v>
      </c>
      <c r="E43" s="124"/>
      <c r="F43" s="115" t="s">
        <v>115</v>
      </c>
      <c r="G43" s="125"/>
      <c r="H43" s="125"/>
      <c r="I43" s="125"/>
      <c r="J43" s="126"/>
    </row>
    <row r="44" spans="1:10" ht="16.5" x14ac:dyDescent="0.3">
      <c r="A44" s="44" t="s">
        <v>79</v>
      </c>
      <c r="B44" s="31"/>
      <c r="C44" s="31"/>
      <c r="D44" s="28"/>
      <c r="E44" s="187" t="s">
        <v>129</v>
      </c>
      <c r="F44" s="179"/>
      <c r="G44" s="179"/>
      <c r="H44" s="179"/>
      <c r="I44" s="179"/>
      <c r="J44" s="180"/>
    </row>
    <row r="45" spans="1:10" ht="16.5" customHeight="1" x14ac:dyDescent="0.25">
      <c r="A45" s="193" t="s">
        <v>130</v>
      </c>
      <c r="B45" s="188"/>
      <c r="C45" s="188"/>
      <c r="D45" s="188"/>
      <c r="E45" s="188"/>
      <c r="F45" s="188"/>
      <c r="G45" s="188"/>
      <c r="H45" s="188"/>
      <c r="I45" s="188"/>
      <c r="J45" s="194"/>
    </row>
    <row r="46" spans="1:10" x14ac:dyDescent="0.25">
      <c r="A46" s="195"/>
      <c r="B46" s="196"/>
      <c r="C46" s="196"/>
      <c r="D46" s="196"/>
      <c r="E46" s="196"/>
      <c r="F46" s="196"/>
      <c r="G46" s="196"/>
      <c r="H46" s="196"/>
      <c r="I46" s="196"/>
      <c r="J46" s="197"/>
    </row>
    <row r="47" spans="1:10" ht="16.5" x14ac:dyDescent="0.3">
      <c r="A47" s="127" t="s">
        <v>80</v>
      </c>
      <c r="B47" s="128"/>
      <c r="C47" s="187" t="s">
        <v>117</v>
      </c>
      <c r="D47" s="179"/>
      <c r="E47" s="179"/>
      <c r="F47" s="179"/>
      <c r="G47" s="179"/>
      <c r="H47" s="179"/>
      <c r="I47" s="179"/>
      <c r="J47" s="180"/>
    </row>
    <row r="48" spans="1:10" x14ac:dyDescent="0.25">
      <c r="A48" s="193" t="s">
        <v>131</v>
      </c>
      <c r="B48" s="198"/>
      <c r="C48" s="198"/>
      <c r="D48" s="198"/>
      <c r="E48" s="198"/>
      <c r="F48" s="198"/>
      <c r="G48" s="198"/>
      <c r="H48" s="198"/>
      <c r="I48" s="198"/>
      <c r="J48" s="199"/>
    </row>
    <row r="49" spans="1:10" ht="16.5" x14ac:dyDescent="0.3">
      <c r="A49" s="178"/>
      <c r="B49" s="179"/>
      <c r="C49" s="179"/>
      <c r="D49" s="179"/>
      <c r="E49" s="179"/>
      <c r="F49" s="179"/>
      <c r="G49" s="179"/>
      <c r="H49" s="179"/>
      <c r="I49" s="179"/>
      <c r="J49" s="180"/>
    </row>
    <row r="50" spans="1:10" ht="17.25" thickBot="1" x14ac:dyDescent="0.35">
      <c r="A50" s="181"/>
      <c r="B50" s="182"/>
      <c r="C50" s="182"/>
      <c r="D50" s="182"/>
      <c r="E50" s="182"/>
      <c r="F50" s="182"/>
      <c r="G50" s="182"/>
      <c r="H50" s="182"/>
      <c r="I50" s="182"/>
      <c r="J50" s="183"/>
    </row>
    <row r="51" spans="1:10" x14ac:dyDescent="0.25">
      <c r="A51" s="129" t="s">
        <v>118</v>
      </c>
      <c r="B51" s="130" t="s">
        <v>94</v>
      </c>
      <c r="C51" s="139" t="s">
        <v>110</v>
      </c>
      <c r="D51" s="130" t="s">
        <v>81</v>
      </c>
      <c r="E51" s="184" t="s">
        <v>112</v>
      </c>
      <c r="F51" s="185"/>
      <c r="G51" s="185"/>
      <c r="H51" s="185"/>
      <c r="I51" s="185"/>
      <c r="J51" s="186"/>
    </row>
    <row r="52" spans="1:10" x14ac:dyDescent="0.25">
      <c r="A52" s="35" t="s">
        <v>124</v>
      </c>
      <c r="B52" s="28"/>
      <c r="C52" s="187" t="s">
        <v>125</v>
      </c>
      <c r="D52" s="188"/>
      <c r="E52" s="189"/>
      <c r="F52" s="39" t="s">
        <v>82</v>
      </c>
      <c r="G52" s="190">
        <v>41687</v>
      </c>
      <c r="H52" s="191"/>
      <c r="I52" s="191"/>
      <c r="J52" s="192"/>
    </row>
    <row r="53" spans="1:10" ht="15.75" thickBot="1" x14ac:dyDescent="0.3">
      <c r="A53" s="131" t="s">
        <v>3</v>
      </c>
      <c r="B53" s="132"/>
      <c r="C53" s="172" t="s">
        <v>120</v>
      </c>
      <c r="D53" s="173"/>
      <c r="E53" s="174"/>
      <c r="F53" s="133" t="s">
        <v>83</v>
      </c>
      <c r="G53" s="175"/>
      <c r="H53" s="176"/>
      <c r="I53" s="176"/>
      <c r="J53" s="177"/>
    </row>
    <row r="54" spans="1:10" x14ac:dyDescent="0.25">
      <c r="A54" s="58"/>
      <c r="B54" s="58"/>
      <c r="C54" s="58"/>
      <c r="D54" s="58"/>
      <c r="E54" s="58"/>
      <c r="F54" s="134"/>
      <c r="G54" s="58"/>
      <c r="H54" s="58"/>
      <c r="I54" s="58"/>
      <c r="J54" s="58"/>
    </row>
    <row r="55" spans="1:10" x14ac:dyDescent="0.25">
      <c r="A55" s="58"/>
      <c r="B55" s="58"/>
      <c r="C55" s="58"/>
      <c r="D55" s="58"/>
      <c r="E55" s="58"/>
      <c r="F55" s="134"/>
      <c r="G55" s="58"/>
      <c r="H55" s="58"/>
      <c r="I55" s="58"/>
      <c r="J55" s="58"/>
    </row>
    <row r="56" spans="1:10" ht="15" customHeight="1" x14ac:dyDescent="0.25">
      <c r="A56" s="150" t="s">
        <v>84</v>
      </c>
      <c r="B56" s="151"/>
      <c r="C56" s="154" t="s">
        <v>133</v>
      </c>
      <c r="D56" s="155"/>
      <c r="E56" s="155"/>
      <c r="F56" s="155"/>
      <c r="G56" s="155"/>
      <c r="H56" s="155"/>
      <c r="I56" s="155"/>
      <c r="J56" s="156"/>
    </row>
    <row r="57" spans="1:10" ht="15" customHeight="1" x14ac:dyDescent="0.25">
      <c r="A57" s="144" t="s">
        <v>132</v>
      </c>
      <c r="B57" s="145"/>
      <c r="C57" s="157"/>
      <c r="D57" s="158"/>
      <c r="E57" s="158"/>
      <c r="F57" s="158"/>
      <c r="G57" s="158"/>
      <c r="H57" s="158"/>
      <c r="I57" s="158"/>
      <c r="J57" s="159"/>
    </row>
    <row r="58" spans="1:10" ht="15" customHeight="1" x14ac:dyDescent="0.25">
      <c r="A58" s="144"/>
      <c r="B58" s="145"/>
      <c r="C58" s="160"/>
      <c r="D58" s="161"/>
      <c r="E58" s="161"/>
      <c r="F58" s="161"/>
      <c r="G58" s="161"/>
      <c r="H58" s="161"/>
      <c r="I58" s="161"/>
      <c r="J58" s="162"/>
    </row>
    <row r="59" spans="1:10" x14ac:dyDescent="0.25">
      <c r="A59" s="150" t="s">
        <v>85</v>
      </c>
      <c r="B59" s="151"/>
      <c r="C59" s="154" t="s">
        <v>134</v>
      </c>
      <c r="D59" s="155"/>
      <c r="E59" s="155"/>
      <c r="F59" s="155"/>
      <c r="G59" s="155"/>
      <c r="H59" s="155"/>
      <c r="I59" s="155"/>
      <c r="J59" s="156"/>
    </row>
    <row r="60" spans="1:10" x14ac:dyDescent="0.25">
      <c r="A60" s="144"/>
      <c r="B60" s="145"/>
      <c r="C60" s="163" t="s">
        <v>135</v>
      </c>
      <c r="D60" s="158"/>
      <c r="E60" s="158"/>
      <c r="F60" s="158"/>
      <c r="G60" s="158"/>
      <c r="H60" s="158"/>
      <c r="I60" s="158"/>
      <c r="J60" s="159"/>
    </row>
    <row r="61" spans="1:10" x14ac:dyDescent="0.25">
      <c r="A61" s="147"/>
      <c r="B61" s="148"/>
      <c r="C61" s="160"/>
      <c r="D61" s="161"/>
      <c r="E61" s="161"/>
      <c r="F61" s="161"/>
      <c r="G61" s="161"/>
      <c r="H61" s="161"/>
      <c r="I61" s="161"/>
      <c r="J61" s="162"/>
    </row>
    <row r="62" spans="1:10" ht="16.5" x14ac:dyDescent="0.3">
      <c r="A62" s="144" t="s">
        <v>86</v>
      </c>
      <c r="B62" s="146"/>
      <c r="C62" s="135" t="s">
        <v>87</v>
      </c>
      <c r="D62" s="146"/>
      <c r="E62" s="142" t="s">
        <v>88</v>
      </c>
      <c r="F62" s="214" t="s">
        <v>89</v>
      </c>
      <c r="G62" s="146"/>
      <c r="H62" s="144"/>
      <c r="I62" s="145" t="s">
        <v>90</v>
      </c>
      <c r="J62" s="146"/>
    </row>
    <row r="63" spans="1:10" x14ac:dyDescent="0.25">
      <c r="A63" s="150" t="s">
        <v>91</v>
      </c>
      <c r="B63" s="152"/>
      <c r="C63" s="169"/>
      <c r="D63" s="170"/>
      <c r="E63" s="170"/>
      <c r="F63" s="170"/>
      <c r="G63" s="170"/>
      <c r="H63" s="170"/>
      <c r="I63" s="170"/>
      <c r="J63" s="171"/>
    </row>
    <row r="64" spans="1:10" x14ac:dyDescent="0.25">
      <c r="A64" s="144"/>
      <c r="B64" s="146"/>
      <c r="C64" s="157"/>
      <c r="D64" s="158"/>
      <c r="E64" s="158"/>
      <c r="F64" s="158"/>
      <c r="G64" s="158"/>
      <c r="H64" s="158"/>
      <c r="I64" s="158"/>
      <c r="J64" s="159"/>
    </row>
    <row r="65" spans="1:10" x14ac:dyDescent="0.25">
      <c r="A65" s="147"/>
      <c r="B65" s="149"/>
      <c r="C65" s="160"/>
      <c r="D65" s="161"/>
      <c r="E65" s="161"/>
      <c r="F65" s="161"/>
      <c r="G65" s="161"/>
      <c r="H65" s="161"/>
      <c r="I65" s="161"/>
      <c r="J65" s="162"/>
    </row>
    <row r="66" spans="1:10" x14ac:dyDescent="0.25">
      <c r="A66" s="150" t="s">
        <v>84</v>
      </c>
      <c r="B66" s="151"/>
      <c r="C66" s="154"/>
      <c r="D66" s="155"/>
      <c r="E66" s="155"/>
      <c r="F66" s="155"/>
      <c r="G66" s="155"/>
      <c r="H66" s="155"/>
      <c r="I66" s="155"/>
      <c r="J66" s="156"/>
    </row>
    <row r="67" spans="1:10" x14ac:dyDescent="0.25">
      <c r="A67" s="144"/>
      <c r="B67" s="145"/>
      <c r="C67" s="163"/>
      <c r="D67" s="164"/>
      <c r="E67" s="164"/>
      <c r="F67" s="164"/>
      <c r="G67" s="164"/>
      <c r="H67" s="164"/>
      <c r="I67" s="164"/>
      <c r="J67" s="165"/>
    </row>
    <row r="68" spans="1:10" x14ac:dyDescent="0.25">
      <c r="A68" s="144"/>
      <c r="B68" s="145"/>
      <c r="C68" s="160"/>
      <c r="D68" s="161"/>
      <c r="E68" s="161"/>
      <c r="F68" s="161"/>
      <c r="G68" s="161"/>
      <c r="H68" s="161"/>
      <c r="I68" s="161"/>
      <c r="J68" s="162"/>
    </row>
    <row r="69" spans="1:10" x14ac:dyDescent="0.25">
      <c r="A69" s="150" t="s">
        <v>85</v>
      </c>
      <c r="B69" s="151"/>
      <c r="C69" s="154"/>
      <c r="D69" s="155"/>
      <c r="E69" s="155"/>
      <c r="F69" s="155"/>
      <c r="G69" s="155"/>
      <c r="H69" s="155"/>
      <c r="I69" s="155"/>
      <c r="J69" s="156"/>
    </row>
    <row r="70" spans="1:10" x14ac:dyDescent="0.25">
      <c r="A70" s="144"/>
      <c r="B70" s="145"/>
      <c r="C70" s="163"/>
      <c r="D70" s="164"/>
      <c r="E70" s="164"/>
      <c r="F70" s="164"/>
      <c r="G70" s="164"/>
      <c r="H70" s="164"/>
      <c r="I70" s="164"/>
      <c r="J70" s="165"/>
    </row>
    <row r="71" spans="1:10" x14ac:dyDescent="0.25">
      <c r="A71" s="147"/>
      <c r="B71" s="148"/>
      <c r="C71" s="166"/>
      <c r="D71" s="167"/>
      <c r="E71" s="167"/>
      <c r="F71" s="167"/>
      <c r="G71" s="167"/>
      <c r="H71" s="167"/>
      <c r="I71" s="167"/>
      <c r="J71" s="168"/>
    </row>
    <row r="72" spans="1:10" x14ac:dyDescent="0.25">
      <c r="A72" s="144" t="s">
        <v>86</v>
      </c>
      <c r="B72" s="146"/>
      <c r="C72" s="135" t="s">
        <v>87</v>
      </c>
      <c r="D72" s="146"/>
      <c r="E72" s="142" t="s">
        <v>88</v>
      </c>
      <c r="F72" s="135" t="s">
        <v>89</v>
      </c>
      <c r="G72" s="146"/>
      <c r="H72" s="144"/>
      <c r="I72" s="145" t="s">
        <v>90</v>
      </c>
      <c r="J72" s="146"/>
    </row>
    <row r="73" spans="1:10" x14ac:dyDescent="0.25">
      <c r="A73" s="150" t="s">
        <v>91</v>
      </c>
      <c r="B73" s="152"/>
      <c r="C73" s="169"/>
      <c r="D73" s="170"/>
      <c r="E73" s="170"/>
      <c r="F73" s="170"/>
      <c r="G73" s="170"/>
      <c r="H73" s="170"/>
      <c r="I73" s="170"/>
      <c r="J73" s="171"/>
    </row>
    <row r="74" spans="1:10" x14ac:dyDescent="0.25">
      <c r="A74" s="144"/>
      <c r="B74" s="146"/>
      <c r="C74" s="157"/>
      <c r="D74" s="158"/>
      <c r="E74" s="158"/>
      <c r="F74" s="158"/>
      <c r="G74" s="158"/>
      <c r="H74" s="158"/>
      <c r="I74" s="158"/>
      <c r="J74" s="159"/>
    </row>
    <row r="75" spans="1:10" x14ac:dyDescent="0.25">
      <c r="A75" s="147"/>
      <c r="B75" s="149"/>
      <c r="C75" s="160"/>
      <c r="D75" s="161"/>
      <c r="E75" s="161"/>
      <c r="F75" s="161"/>
      <c r="G75" s="161"/>
      <c r="H75" s="161"/>
      <c r="I75" s="161"/>
      <c r="J75" s="162"/>
    </row>
    <row r="76" spans="1:10" x14ac:dyDescent="0.25">
      <c r="A76" s="150" t="s">
        <v>84</v>
      </c>
      <c r="B76" s="151"/>
      <c r="C76" s="154"/>
      <c r="D76" s="155"/>
      <c r="E76" s="155"/>
      <c r="F76" s="155"/>
      <c r="G76" s="155"/>
      <c r="H76" s="155"/>
      <c r="I76" s="155"/>
      <c r="J76" s="156"/>
    </row>
    <row r="77" spans="1:10" x14ac:dyDescent="0.25">
      <c r="A77" s="144"/>
      <c r="B77" s="145"/>
      <c r="C77" s="163"/>
      <c r="D77" s="164"/>
      <c r="E77" s="164"/>
      <c r="F77" s="164"/>
      <c r="G77" s="164"/>
      <c r="H77" s="164"/>
      <c r="I77" s="164"/>
      <c r="J77" s="165"/>
    </row>
    <row r="78" spans="1:10" x14ac:dyDescent="0.25">
      <c r="A78" s="144"/>
      <c r="B78" s="145"/>
      <c r="C78" s="166"/>
      <c r="D78" s="167"/>
      <c r="E78" s="167"/>
      <c r="F78" s="167"/>
      <c r="G78" s="167"/>
      <c r="H78" s="167"/>
      <c r="I78" s="167"/>
      <c r="J78" s="168"/>
    </row>
    <row r="79" spans="1:10" x14ac:dyDescent="0.25">
      <c r="A79" s="150" t="s">
        <v>85</v>
      </c>
      <c r="B79" s="151"/>
      <c r="C79" s="154"/>
      <c r="D79" s="155"/>
      <c r="E79" s="155"/>
      <c r="F79" s="155"/>
      <c r="G79" s="155"/>
      <c r="H79" s="155"/>
      <c r="I79" s="155"/>
      <c r="J79" s="156"/>
    </row>
    <row r="80" spans="1:10" x14ac:dyDescent="0.25">
      <c r="A80" s="144"/>
      <c r="B80" s="145"/>
      <c r="C80" s="157"/>
      <c r="D80" s="158"/>
      <c r="E80" s="158"/>
      <c r="F80" s="158"/>
      <c r="G80" s="158"/>
      <c r="H80" s="158"/>
      <c r="I80" s="158"/>
      <c r="J80" s="159"/>
    </row>
    <row r="81" spans="1:10" x14ac:dyDescent="0.25">
      <c r="A81" s="147"/>
      <c r="B81" s="148"/>
      <c r="C81" s="160"/>
      <c r="D81" s="161"/>
      <c r="E81" s="161"/>
      <c r="F81" s="161"/>
      <c r="G81" s="161"/>
      <c r="H81" s="161"/>
      <c r="I81" s="161"/>
      <c r="J81" s="162"/>
    </row>
    <row r="82" spans="1:10" ht="16.5" x14ac:dyDescent="0.3">
      <c r="A82" s="144" t="s">
        <v>86</v>
      </c>
      <c r="B82" s="146"/>
      <c r="C82" s="135" t="s">
        <v>87</v>
      </c>
      <c r="D82" s="146"/>
      <c r="E82" s="143" t="s">
        <v>88</v>
      </c>
      <c r="F82" s="135" t="s">
        <v>89</v>
      </c>
      <c r="G82" s="146"/>
      <c r="H82" s="144"/>
      <c r="I82" s="145" t="s">
        <v>90</v>
      </c>
      <c r="J82" s="146"/>
    </row>
    <row r="83" spans="1:10" x14ac:dyDescent="0.25">
      <c r="A83" s="150" t="s">
        <v>91</v>
      </c>
      <c r="B83" s="152"/>
      <c r="C83" s="151"/>
      <c r="D83" s="151"/>
      <c r="E83" s="151"/>
      <c r="F83" s="151"/>
      <c r="G83" s="151"/>
      <c r="H83" s="151"/>
      <c r="I83" s="151"/>
      <c r="J83" s="152"/>
    </row>
    <row r="84" spans="1:10" x14ac:dyDescent="0.25">
      <c r="A84" s="144"/>
      <c r="B84" s="146"/>
      <c r="C84" s="145"/>
      <c r="D84" s="145"/>
      <c r="E84" s="145"/>
      <c r="F84" s="145"/>
      <c r="G84" s="145"/>
      <c r="H84" s="145"/>
      <c r="I84" s="145"/>
      <c r="J84" s="146"/>
    </row>
    <row r="85" spans="1:10" x14ac:dyDescent="0.25">
      <c r="A85" s="147"/>
      <c r="B85" s="149"/>
      <c r="C85" s="148"/>
      <c r="D85" s="148"/>
      <c r="E85" s="148"/>
      <c r="F85" s="148"/>
      <c r="G85" s="148"/>
      <c r="H85" s="148"/>
      <c r="I85" s="148"/>
      <c r="J85" s="149"/>
    </row>
    <row r="86" spans="1:10" x14ac:dyDescent="0.25">
      <c r="A86" s="150" t="s">
        <v>84</v>
      </c>
      <c r="B86" s="151"/>
      <c r="C86" s="150"/>
      <c r="D86" s="151"/>
      <c r="E86" s="151"/>
      <c r="F86" s="151"/>
      <c r="G86" s="151"/>
      <c r="H86" s="151"/>
      <c r="I86" s="151"/>
      <c r="J86" s="152"/>
    </row>
    <row r="87" spans="1:10" x14ac:dyDescent="0.25">
      <c r="A87" s="144"/>
      <c r="B87" s="145"/>
      <c r="C87" s="144"/>
      <c r="D87" s="145"/>
      <c r="E87" s="145"/>
      <c r="F87" s="145"/>
      <c r="G87" s="145"/>
      <c r="H87" s="145"/>
      <c r="I87" s="145"/>
      <c r="J87" s="146"/>
    </row>
    <row r="88" spans="1:10" x14ac:dyDescent="0.25">
      <c r="A88" s="144"/>
      <c r="B88" s="145"/>
      <c r="C88" s="147"/>
      <c r="D88" s="148"/>
      <c r="E88" s="148"/>
      <c r="F88" s="148"/>
      <c r="G88" s="148"/>
      <c r="H88" s="148"/>
      <c r="I88" s="148"/>
      <c r="J88" s="149"/>
    </row>
    <row r="89" spans="1:10" x14ac:dyDescent="0.25">
      <c r="A89" s="150" t="s">
        <v>85</v>
      </c>
      <c r="B89" s="151"/>
      <c r="C89" s="144"/>
      <c r="D89" s="145"/>
      <c r="E89" s="145"/>
      <c r="F89" s="145"/>
      <c r="G89" s="145"/>
      <c r="H89" s="145"/>
      <c r="I89" s="145"/>
      <c r="J89" s="146"/>
    </row>
    <row r="90" spans="1:10" x14ac:dyDescent="0.25">
      <c r="A90" s="144"/>
      <c r="B90" s="145"/>
      <c r="C90" s="144"/>
      <c r="D90" s="145"/>
      <c r="E90" s="145"/>
      <c r="F90" s="145"/>
      <c r="G90" s="145"/>
      <c r="H90" s="145"/>
      <c r="I90" s="145"/>
      <c r="J90" s="146"/>
    </row>
    <row r="91" spans="1:10" x14ac:dyDescent="0.25">
      <c r="A91" s="147"/>
      <c r="B91" s="148"/>
      <c r="C91" s="147"/>
      <c r="D91" s="148"/>
      <c r="E91" s="148"/>
      <c r="F91" s="148"/>
      <c r="G91" s="148"/>
      <c r="H91" s="148"/>
      <c r="I91" s="148"/>
      <c r="J91" s="149"/>
    </row>
    <row r="92" spans="1:10" x14ac:dyDescent="0.25">
      <c r="A92" s="144" t="s">
        <v>86</v>
      </c>
      <c r="B92" s="146"/>
      <c r="C92" s="135" t="s">
        <v>87</v>
      </c>
      <c r="D92" s="146"/>
      <c r="E92" s="136" t="s">
        <v>88</v>
      </c>
      <c r="F92" s="135" t="s">
        <v>89</v>
      </c>
      <c r="G92" s="146"/>
      <c r="H92" s="144"/>
      <c r="I92" s="145" t="s">
        <v>90</v>
      </c>
      <c r="J92" s="146"/>
    </row>
    <row r="93" spans="1:10" x14ac:dyDescent="0.25">
      <c r="A93" s="150" t="s">
        <v>91</v>
      </c>
      <c r="B93" s="152"/>
      <c r="C93" s="151"/>
      <c r="D93" s="151"/>
      <c r="E93" s="151"/>
      <c r="F93" s="151"/>
      <c r="G93" s="151"/>
      <c r="H93" s="151"/>
      <c r="I93" s="151"/>
      <c r="J93" s="152"/>
    </row>
    <row r="94" spans="1:10" x14ac:dyDescent="0.25">
      <c r="A94" s="2"/>
      <c r="B94" s="3"/>
      <c r="C94" s="1"/>
      <c r="D94" s="1"/>
      <c r="E94" s="1"/>
      <c r="F94" s="1"/>
      <c r="G94" s="1"/>
      <c r="H94" s="1"/>
      <c r="I94" s="1"/>
      <c r="J94" s="3"/>
    </row>
    <row r="95" spans="1:10" x14ac:dyDescent="0.25">
      <c r="A95" s="4"/>
      <c r="B95" s="6"/>
      <c r="C95" s="5"/>
      <c r="D95" s="5"/>
      <c r="E95" s="5"/>
      <c r="F95" s="5"/>
      <c r="G95" s="5"/>
      <c r="H95" s="5"/>
      <c r="I95" s="5"/>
      <c r="J95" s="6"/>
    </row>
  </sheetData>
  <mergeCells count="42">
    <mergeCell ref="I19:J20"/>
    <mergeCell ref="A7:D7"/>
    <mergeCell ref="A8:D8"/>
    <mergeCell ref="B6:D6"/>
    <mergeCell ref="C5:D5"/>
    <mergeCell ref="F10:J10"/>
    <mergeCell ref="E44:J44"/>
    <mergeCell ref="A45:J45"/>
    <mergeCell ref="A46:J46"/>
    <mergeCell ref="C47:J47"/>
    <mergeCell ref="A48:J48"/>
    <mergeCell ref="A49:J49"/>
    <mergeCell ref="A50:J50"/>
    <mergeCell ref="E51:J51"/>
    <mergeCell ref="C52:E52"/>
    <mergeCell ref="G52:J52"/>
    <mergeCell ref="C53:E53"/>
    <mergeCell ref="G53:J53"/>
    <mergeCell ref="C56:J56"/>
    <mergeCell ref="C57:J57"/>
    <mergeCell ref="C58:J58"/>
    <mergeCell ref="C59:J59"/>
    <mergeCell ref="C60:J60"/>
    <mergeCell ref="C61:J61"/>
    <mergeCell ref="C66:J66"/>
    <mergeCell ref="C67:J67"/>
    <mergeCell ref="C68:J68"/>
    <mergeCell ref="C63:J63"/>
    <mergeCell ref="C64:J64"/>
    <mergeCell ref="C65:J65"/>
    <mergeCell ref="C69:J69"/>
    <mergeCell ref="C79:J79"/>
    <mergeCell ref="C80:J80"/>
    <mergeCell ref="C81:J81"/>
    <mergeCell ref="C70:J70"/>
    <mergeCell ref="C71:J71"/>
    <mergeCell ref="C76:J76"/>
    <mergeCell ref="C77:J77"/>
    <mergeCell ref="C78:J78"/>
    <mergeCell ref="C73:J73"/>
    <mergeCell ref="C74:J74"/>
    <mergeCell ref="C75:J75"/>
  </mergeCells>
  <phoneticPr fontId="2" type="noConversion"/>
  <pageMargins left="0.7" right="0.7" top="0.75" bottom="0.75" header="0.3" footer="0.3"/>
  <pageSetup paperSize="9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Bromley</dc:creator>
  <cp:lastModifiedBy>Jeremy Bromley</cp:lastModifiedBy>
  <cp:lastPrinted>2013-08-22T12:50:04Z</cp:lastPrinted>
  <dcterms:created xsi:type="dcterms:W3CDTF">2009-03-10T08:54:02Z</dcterms:created>
  <dcterms:modified xsi:type="dcterms:W3CDTF">2014-02-17T12:32:35Z</dcterms:modified>
</cp:coreProperties>
</file>