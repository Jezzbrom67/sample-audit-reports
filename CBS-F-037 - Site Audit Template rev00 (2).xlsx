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4788\Desktop\New Company Document System\New form templates\"/>
    </mc:Choice>
  </mc:AlternateContent>
  <xr:revisionPtr revIDLastSave="0" documentId="13_ncr:1_{4BE47B1C-66EC-4ABD-9613-91A6CD2C7FA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4" r:id="rId2"/>
  </sheets>
  <definedNames>
    <definedName name="OLE_LINK3" localSheetId="0">Sheet1!$C$42</definedName>
  </definedNames>
  <calcPr calcId="191029"/>
  <fileRecoveryPr autoRecover="0"/>
</workbook>
</file>

<file path=xl/calcChain.xml><?xml version="1.0" encoding="utf-8"?>
<calcChain xmlns="http://schemas.openxmlformats.org/spreadsheetml/2006/main">
  <c r="F13" i="1" l="1"/>
  <c r="H13" i="1" s="1"/>
  <c r="F15" i="1"/>
  <c r="H15" i="1" s="1"/>
  <c r="F17" i="1"/>
  <c r="H17" i="1" s="1"/>
  <c r="F19" i="1"/>
  <c r="H19" i="1" s="1"/>
  <c r="H21" i="1" l="1"/>
  <c r="I22" i="1" s="1"/>
  <c r="F21" i="1"/>
</calcChain>
</file>

<file path=xl/sharedStrings.xml><?xml version="1.0" encoding="utf-8"?>
<sst xmlns="http://schemas.openxmlformats.org/spreadsheetml/2006/main" count="218" uniqueCount="155">
  <si>
    <t>Date:</t>
  </si>
  <si>
    <t>REPORT</t>
  </si>
  <si>
    <t>SITE SAFETY/ HEALTH/ WELFARE</t>
  </si>
  <si>
    <t>LOSS PREVENTION INSPECTION</t>
  </si>
  <si>
    <t>Client</t>
  </si>
  <si>
    <t>Site Address:</t>
  </si>
  <si>
    <t>Recieved By:</t>
  </si>
  <si>
    <t>Signature:</t>
  </si>
  <si>
    <t>Number</t>
  </si>
  <si>
    <t xml:space="preserve">                  Accident Summary</t>
  </si>
  <si>
    <t xml:space="preserve">                Since Previous Audit</t>
  </si>
  <si>
    <t xml:space="preserve">                 Category</t>
  </si>
  <si>
    <t>Major Injury</t>
  </si>
  <si>
    <t>Dangerous Occurence</t>
  </si>
  <si>
    <t>First Aid Only</t>
  </si>
  <si>
    <t>Damage/ Near Miss</t>
  </si>
  <si>
    <t xml:space="preserve">        Priority Action</t>
  </si>
  <si>
    <t xml:space="preserve">             Summary</t>
  </si>
  <si>
    <t>Priority S - DANGER-</t>
  </si>
  <si>
    <t>Priority A</t>
  </si>
  <si>
    <t>IMEDIATE RECTIFICATION</t>
  </si>
  <si>
    <t>Priority B</t>
  </si>
  <si>
    <t>RECTIFICATION WITHIN 24HRS</t>
  </si>
  <si>
    <t>Priority C</t>
  </si>
  <si>
    <t>RECTIFICATION WITHIN 72HRS</t>
  </si>
  <si>
    <t>No.</t>
  </si>
  <si>
    <t>Points</t>
  </si>
  <si>
    <t>Totals</t>
  </si>
  <si>
    <t>Site Score</t>
  </si>
  <si>
    <t>Achievable</t>
  </si>
  <si>
    <t>Max Points</t>
  </si>
  <si>
    <t>/100 = R</t>
  </si>
  <si>
    <t>/R = T</t>
  </si>
  <si>
    <t>100 - T =</t>
  </si>
  <si>
    <t>TOTALS</t>
  </si>
  <si>
    <t>Principle Contractor</t>
  </si>
  <si>
    <t>Site manager</t>
  </si>
  <si>
    <t>Principle Contractor Requirements Only</t>
  </si>
  <si>
    <t>5.Welfare-Drying,Changing facilities</t>
  </si>
  <si>
    <t>8.Entry/Exit Procedure (Sign In/Out)</t>
  </si>
  <si>
    <t>1.Statuary Notices &amp; Signs</t>
  </si>
  <si>
    <t>4.Welfare - Canteen/Prep.</t>
  </si>
  <si>
    <t>7.Site Security/Public Protecion</t>
  </si>
  <si>
    <t>10.Fire/Planning/Extinguishers</t>
  </si>
  <si>
    <t>2.Construction H&amp;S Plan</t>
  </si>
  <si>
    <t>11.First Aid/Emergency/Accident info</t>
  </si>
  <si>
    <t>3.HASAW Poster</t>
  </si>
  <si>
    <t>6.Welfare-Toilets/Washing</t>
  </si>
  <si>
    <t>9.Traffic Mangement</t>
  </si>
  <si>
    <t>12.Lighting</t>
  </si>
  <si>
    <t>General Audit</t>
  </si>
  <si>
    <t>1.Insurance/Test Certs</t>
  </si>
  <si>
    <t>4.Method Statements-S/C</t>
  </si>
  <si>
    <t>5.Risk Assessments-S/C</t>
  </si>
  <si>
    <t>7.Induction Training</t>
  </si>
  <si>
    <t>8.Vibration Usage Records/Info/Tags</t>
  </si>
  <si>
    <t>11.Environmental-Waste Control</t>
  </si>
  <si>
    <t>12.Environmental-Animal</t>
  </si>
  <si>
    <t>13.Electricity-Supply/Equipment</t>
  </si>
  <si>
    <t>14.Equipment/Material-Delivery Control</t>
  </si>
  <si>
    <t>16.Portable Tools/P.A.Tests</t>
  </si>
  <si>
    <t>17.COSHH/Flammable Materials/Storage</t>
  </si>
  <si>
    <t>22.Ladder/Scaffold Inspection</t>
  </si>
  <si>
    <t>23.Scaffold Guardrails/Edge Protection</t>
  </si>
  <si>
    <t>24.LOLER Inspection</t>
  </si>
  <si>
    <t>25.PUWER Inspections</t>
  </si>
  <si>
    <t>26.Height Safety/Equipment/Inspection</t>
  </si>
  <si>
    <t>27.Harness Inspection</t>
  </si>
  <si>
    <t>29.Noise-Control &amp; hearing Protection</t>
  </si>
  <si>
    <t>32.Personnel Training Records(cscs etc)</t>
  </si>
  <si>
    <t>33.Toolbox Talks</t>
  </si>
  <si>
    <t>34.P.P.E-Onsite Usage</t>
  </si>
  <si>
    <t>35.Housekeeping</t>
  </si>
  <si>
    <t>36.Acess/Egress On Site</t>
  </si>
  <si>
    <t>37.Hot Works/Safety/permits</t>
  </si>
  <si>
    <t>38.Smoking</t>
  </si>
  <si>
    <t>General Comments &amp; Future Guidance:</t>
  </si>
  <si>
    <t>Address:</t>
  </si>
  <si>
    <t>Date</t>
  </si>
  <si>
    <t>Signature</t>
  </si>
  <si>
    <t>Hazard Description</t>
  </si>
  <si>
    <t>Recommendations</t>
  </si>
  <si>
    <t>Priority</t>
  </si>
  <si>
    <t>S</t>
  </si>
  <si>
    <t>A</t>
  </si>
  <si>
    <t>B</t>
  </si>
  <si>
    <t>C</t>
  </si>
  <si>
    <t>Actions Taken</t>
  </si>
  <si>
    <t>2.Method Statements</t>
  </si>
  <si>
    <t>3.Risk Assessments</t>
  </si>
  <si>
    <t>B - Action Required Within 24hrs          C - Action Required Within 72 hours            X - Not Applicable            * - Other Comment</t>
  </si>
  <si>
    <t>Job Detail:</t>
  </si>
  <si>
    <t>Safety Planning Provisions:</t>
  </si>
  <si>
    <t>%</t>
  </si>
  <si>
    <t xml:space="preserve">    √ - No Action Required At Present            S - Stop Work            A - Imediate Action Required</t>
  </si>
  <si>
    <t xml:space="preserve">     </t>
  </si>
  <si>
    <t>31.Leading Edges</t>
  </si>
  <si>
    <t>O/7 Day</t>
  </si>
  <si>
    <t>U/7 Day</t>
  </si>
  <si>
    <t xml:space="preserve">  Points Achieved</t>
  </si>
  <si>
    <t>19.WAH-Safety/Permits</t>
  </si>
  <si>
    <t>10.QA Documentation up to date</t>
  </si>
  <si>
    <t>30. Tower Scaffold/Set Up</t>
  </si>
  <si>
    <t>21. Training Certification (S/C)</t>
  </si>
  <si>
    <t>√</t>
  </si>
  <si>
    <t>Page  2 of 2</t>
  </si>
  <si>
    <t>Page 1 of 2</t>
  </si>
  <si>
    <t xml:space="preserve"> </t>
  </si>
  <si>
    <t>9.Lift Plans</t>
  </si>
  <si>
    <t>Site Manager</t>
  </si>
  <si>
    <t>Unit 1, Cliffe Yard, Medway City Estate, Rochester, Kent, ME2 4DY</t>
  </si>
  <si>
    <t xml:space="preserve">Tel: +44 (0)1634 711507  </t>
  </si>
  <si>
    <t>Web: info@countybsltd.co.uk</t>
  </si>
  <si>
    <t xml:space="preserve">Ben Killick, Sam Killick, </t>
  </si>
  <si>
    <t>Victoria Coach Station</t>
  </si>
  <si>
    <t>164 Buckingham Palace Road</t>
  </si>
  <si>
    <t>London SW1W 9T</t>
  </si>
  <si>
    <t>Ringway</t>
  </si>
  <si>
    <t>Ringway/Transport For London (TFL)</t>
  </si>
  <si>
    <t>39. COVID</t>
  </si>
  <si>
    <t>18. Lifting Equipment Storage</t>
  </si>
  <si>
    <t>15. Construction Material Storage</t>
  </si>
  <si>
    <t>6. Launguage Control Measures</t>
  </si>
  <si>
    <t xml:space="preserve">The two sites were generally in good order with control measures for Covid 19 well  </t>
  </si>
  <si>
    <t>164 Buckingham Palace Road, London SW1W 9T</t>
  </si>
  <si>
    <t>20_1009_01</t>
  </si>
  <si>
    <t>Job Detail: 20_1009_01</t>
  </si>
  <si>
    <t>20.Training Certification (CBS)</t>
  </si>
  <si>
    <t>Roger Stacey</t>
  </si>
  <si>
    <t>28.Plant Operation</t>
  </si>
  <si>
    <t>GA28</t>
  </si>
  <si>
    <t>Ben Killick, Sam Killick, Roger Stacey</t>
  </si>
  <si>
    <r>
      <rPr>
        <b/>
        <sz val="10"/>
        <color rgb="FF000000"/>
        <rFont val="Arial Narrow"/>
        <family val="2"/>
      </rPr>
      <t xml:space="preserve">Site Description: </t>
    </r>
    <r>
      <rPr>
        <sz val="9"/>
        <color indexed="8"/>
        <rFont val="Arial Narrow"/>
        <family val="2"/>
      </rPr>
      <t>The site was a mixture of building styles from victorian to maybe mid-2000's, with pigeon waste, asbestos</t>
    </r>
  </si>
  <si>
    <t xml:space="preserve">developed and control measures defined in documentation evidenced throughout the site. Equipment checks are still not being carried out as </t>
  </si>
  <si>
    <t xml:space="preserve">GA16, GA25 </t>
  </si>
  <si>
    <t xml:space="preserve">Cordless drill battery charger found without PAT in the arrivals hall. It is clear that personnel are still not </t>
  </si>
  <si>
    <t>required by the teams in the arrivals hall (4th time). Audit was conducted with client management and company management team.</t>
  </si>
  <si>
    <t xml:space="preserve">and work at height being the main hazards at the moment with the station currently being closed. Work areas were generally well defined and </t>
  </si>
  <si>
    <t xml:space="preserve">clearly understood and personnel were following defined processes for Covid 19. Good supplies of drinking water and arrangements made by </t>
  </si>
  <si>
    <t>senior management to mitigate heat issues with fans in the roof areas identify that personnel safety is a priority for the company.</t>
  </si>
  <si>
    <t xml:space="preserve">checking their equipment before use in this area. This is the 4th visit identifying the issue that personnel are </t>
  </si>
  <si>
    <t>not checking their equipment prior to use and are just ticking boxes on PUWER checksheets</t>
  </si>
  <si>
    <t xml:space="preserve">Deatailed spot checks to be carried out to ensure pre-use and periodic inspections are carried out as are </t>
  </si>
  <si>
    <t>legally required. Personnel found not carrying out such tests, aftre 3 previous audits and issued warnings,</t>
  </si>
  <si>
    <t>to be initially sent home before returning to be re-inducted and training carried out to ensure understanding</t>
  </si>
  <si>
    <t>MEWP's are being driven in the arrivals hall without relevant banksman in attendance as per the RAMS</t>
  </si>
  <si>
    <t xml:space="preserve">All MEWP's to only be driven if a banksman is in attendance. Personnel to be given TBT on safe MEWP  </t>
  </si>
  <si>
    <t>operating procedures and warned further non-compliance may result in removal from site.</t>
  </si>
  <si>
    <t xml:space="preserve">Third visit where PAT and equipment checks within the FOURTH visit where PAT and equipment </t>
  </si>
  <si>
    <t>checks within the arrivals hall has been an issue, personal battery charger plugged in untested</t>
  </si>
  <si>
    <t>photo 1, all other equipment in use had been checked.</t>
  </si>
  <si>
    <t>All three MEWP's within the arrivals hall were found operating without Banksmen</t>
  </si>
  <si>
    <t>Battery charger has been PAT tested. Spot checks will be carried out.</t>
  </si>
  <si>
    <t>Tool box talk undertaken after briefing meeting on 25/06/20</t>
  </si>
  <si>
    <t>Site Hours Monthly (June)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</si>
</sst>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Arial Narrow"/>
      <family val="2"/>
    </font>
    <font>
      <b/>
      <sz val="11"/>
      <color indexed="8"/>
      <name val="Arial Narrow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sz val="11"/>
      <color theme="1"/>
      <name val="Calibri"/>
      <family val="2"/>
      <scheme val="minor"/>
    </font>
    <font>
      <sz val="6"/>
      <color theme="1"/>
      <name val="Times New Roman"/>
      <family val="1"/>
    </font>
    <font>
      <b/>
      <sz val="14"/>
      <color indexed="8"/>
      <name val="Arial Narrow"/>
      <family val="2"/>
    </font>
    <font>
      <sz val="10"/>
      <color theme="1"/>
      <name val="Franklin Gothic Book"/>
      <family val="2"/>
    </font>
    <font>
      <b/>
      <sz val="9"/>
      <color indexed="8"/>
      <name val="Arial Narrow"/>
      <family val="2"/>
    </font>
    <font>
      <b/>
      <sz val="12"/>
      <color indexed="8"/>
      <name val="Brush Script MT"/>
      <family val="4"/>
    </font>
    <font>
      <sz val="6"/>
      <color indexed="8"/>
      <name val="Arial Narrow"/>
      <family val="2"/>
    </font>
    <font>
      <b/>
      <sz val="10"/>
      <name val="Arial Narrow"/>
      <family val="2"/>
    </font>
    <font>
      <b/>
      <sz val="10"/>
      <color indexed="1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sz val="10"/>
      <color indexed="13"/>
      <name val="Arial Narrow"/>
      <family val="2"/>
    </font>
    <font>
      <b/>
      <sz val="10"/>
      <color theme="0"/>
      <name val="Arial Narrow"/>
      <family val="2"/>
    </font>
    <font>
      <sz val="11"/>
      <color indexed="13"/>
      <name val="Arial Narrow"/>
      <family val="2"/>
    </font>
    <font>
      <sz val="8"/>
      <name val="Arial Narrow"/>
      <family val="2"/>
    </font>
    <font>
      <sz val="7.75"/>
      <color indexed="8"/>
      <name val="Arial Narrow"/>
      <family val="2"/>
    </font>
    <font>
      <sz val="10"/>
      <color theme="0"/>
      <name val="Arial Narrow"/>
      <family val="2"/>
    </font>
    <font>
      <sz val="11"/>
      <color theme="0"/>
      <name val="Arial Narrow"/>
      <family val="2"/>
    </font>
    <font>
      <b/>
      <sz val="11"/>
      <color indexed="8"/>
      <name val="Brush Script MT"/>
      <family val="4"/>
    </font>
    <font>
      <b/>
      <sz val="11"/>
      <color rgb="FFFF0000"/>
      <name val="Arial Narrow"/>
      <family val="2"/>
    </font>
    <font>
      <b/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rgb="FFFF0000"/>
      <name val="Arial Narrow"/>
      <family val="2"/>
    </font>
    <font>
      <sz val="9"/>
      <color indexed="8"/>
      <name val="Arial Narrow"/>
      <family val="2"/>
    </font>
    <font>
      <sz val="10"/>
      <name val="Arial Narrow"/>
      <family val="2"/>
    </font>
    <font>
      <b/>
      <sz val="8"/>
      <color rgb="FF1F497D"/>
      <name val="Arial Narrow"/>
      <family val="2"/>
    </font>
    <font>
      <sz val="9"/>
      <name val="Arial Narrow"/>
      <family val="2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rgb="FFFF0000"/>
      <name val="Arial Narrow"/>
      <family val="2"/>
    </font>
    <font>
      <sz val="9"/>
      <color rgb="FFFF0000"/>
      <name val="Arial Narrow"/>
      <family val="2"/>
    </font>
    <font>
      <b/>
      <sz val="9"/>
      <name val="Arial Narrow"/>
      <family val="2"/>
    </font>
    <font>
      <b/>
      <sz val="10"/>
      <color rgb="FF000000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224">
    <xf numFmtId="0" fontId="0" fillId="0" borderId="0" xfId="0"/>
    <xf numFmtId="0" fontId="2" fillId="0" borderId="39" xfId="0" applyFont="1" applyBorder="1"/>
    <xf numFmtId="0" fontId="3" fillId="0" borderId="38" xfId="0" applyFont="1" applyBorder="1" applyAlignment="1">
      <alignment horizontal="center"/>
    </xf>
    <xf numFmtId="0" fontId="3" fillId="0" borderId="3" xfId="0" applyFont="1" applyBorder="1"/>
    <xf numFmtId="0" fontId="4" fillId="0" borderId="37" xfId="0" applyFont="1" applyBorder="1"/>
    <xf numFmtId="0" fontId="5" fillId="0" borderId="3" xfId="0" applyFont="1" applyBorder="1"/>
    <xf numFmtId="0" fontId="4" fillId="0" borderId="3" xfId="0" applyFont="1" applyBorder="1"/>
    <xf numFmtId="0" fontId="2" fillId="0" borderId="1" xfId="0" applyFont="1" applyBorder="1"/>
    <xf numFmtId="0" fontId="6" fillId="0" borderId="0" xfId="0" applyFont="1"/>
    <xf numFmtId="0" fontId="2" fillId="0" borderId="40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Border="1"/>
    <xf numFmtId="0" fontId="4" fillId="0" borderId="12" xfId="0" applyFont="1" applyBorder="1"/>
    <xf numFmtId="0" fontId="2" fillId="0" borderId="0" xfId="0" applyFont="1"/>
    <xf numFmtId="0" fontId="5" fillId="0" borderId="0" xfId="0" applyFont="1" applyBorder="1"/>
    <xf numFmtId="0" fontId="2" fillId="0" borderId="2" xfId="0" applyFont="1" applyBorder="1"/>
    <xf numFmtId="0" fontId="3" fillId="0" borderId="29" xfId="0" applyFont="1" applyBorder="1"/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/>
    </xf>
    <xf numFmtId="0" fontId="4" fillId="0" borderId="30" xfId="0" applyFont="1" applyBorder="1"/>
    <xf numFmtId="0" fontId="4" fillId="0" borderId="15" xfId="0" applyFont="1" applyBorder="1"/>
    <xf numFmtId="0" fontId="9" fillId="0" borderId="0" xfId="0" applyFont="1" applyAlignment="1">
      <alignment vertical="center"/>
    </xf>
    <xf numFmtId="0" fontId="4" fillId="0" borderId="31" xfId="0" applyFont="1" applyBorder="1"/>
    <xf numFmtId="0" fontId="4" fillId="0" borderId="16" xfId="0" applyFont="1" applyBorder="1" applyAlignment="1">
      <alignment horizontal="left"/>
    </xf>
    <xf numFmtId="0" fontId="4" fillId="0" borderId="6" xfId="0" applyFont="1" applyBorder="1"/>
    <xf numFmtId="0" fontId="5" fillId="0" borderId="6" xfId="0" applyFont="1" applyBorder="1"/>
    <xf numFmtId="0" fontId="2" fillId="0" borderId="34" xfId="0" applyFont="1" applyBorder="1"/>
    <xf numFmtId="0" fontId="4" fillId="0" borderId="17" xfId="0" applyFont="1" applyBorder="1" applyAlignment="1">
      <alignment wrapText="1"/>
    </xf>
    <xf numFmtId="0" fontId="4" fillId="0" borderId="16" xfId="0" applyFont="1" applyBorder="1"/>
    <xf numFmtId="0" fontId="4" fillId="0" borderId="35" xfId="0" applyFont="1" applyBorder="1"/>
    <xf numFmtId="0" fontId="4" fillId="0" borderId="14" xfId="0" applyFont="1" applyBorder="1"/>
    <xf numFmtId="0" fontId="10" fillId="0" borderId="16" xfId="0" applyFont="1" applyBorder="1"/>
    <xf numFmtId="0" fontId="2" fillId="0" borderId="25" xfId="0" applyFont="1" applyBorder="1"/>
    <xf numFmtId="0" fontId="4" fillId="0" borderId="9" xfId="0" applyFont="1" applyBorder="1"/>
    <xf numFmtId="0" fontId="4" fillId="0" borderId="32" xfId="0" applyFont="1" applyBorder="1"/>
    <xf numFmtId="0" fontId="4" fillId="0" borderId="10" xfId="0" applyFont="1" applyBorder="1"/>
    <xf numFmtId="0" fontId="4" fillId="0" borderId="17" xfId="0" applyFont="1" applyBorder="1"/>
    <xf numFmtId="0" fontId="4" fillId="0" borderId="7" xfId="0" applyFont="1" applyBorder="1"/>
    <xf numFmtId="0" fontId="4" fillId="0" borderId="29" xfId="0" applyFont="1" applyBorder="1"/>
    <xf numFmtId="0" fontId="4" fillId="0" borderId="4" xfId="0" applyFont="1" applyBorder="1"/>
    <xf numFmtId="0" fontId="4" fillId="0" borderId="8" xfId="0" applyFont="1" applyBorder="1"/>
    <xf numFmtId="0" fontId="4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2" fillId="0" borderId="8" xfId="0" applyFont="1" applyFill="1" applyBorder="1" applyAlignment="1">
      <alignment horizontal="center"/>
    </xf>
    <xf numFmtId="0" fontId="2" fillId="0" borderId="33" xfId="0" applyFont="1" applyBorder="1"/>
    <xf numFmtId="0" fontId="4" fillId="0" borderId="24" xfId="0" applyFont="1" applyBorder="1"/>
    <xf numFmtId="0" fontId="4" fillId="0" borderId="13" xfId="0" applyFont="1" applyBorder="1"/>
    <xf numFmtId="0" fontId="4" fillId="0" borderId="3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2" fillId="0" borderId="11" xfId="0" applyFont="1" applyFill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4" fillId="0" borderId="11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2" fillId="0" borderId="11" xfId="0" applyFont="1" applyFill="1" applyBorder="1" applyAlignment="1">
      <alignment horizontal="left"/>
    </xf>
    <xf numFmtId="0" fontId="12" fillId="0" borderId="13" xfId="0" applyFont="1" applyFill="1" applyBorder="1" applyAlignment="1">
      <alignment horizontal="center"/>
    </xf>
    <xf numFmtId="0" fontId="4" fillId="0" borderId="11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13" fillId="0" borderId="8" xfId="0" applyFont="1" applyFill="1" applyBorder="1" applyAlignment="1">
      <alignment horizontal="center"/>
    </xf>
    <xf numFmtId="0" fontId="4" fillId="0" borderId="8" xfId="0" applyFont="1" applyFill="1" applyBorder="1"/>
    <xf numFmtId="0" fontId="14" fillId="0" borderId="13" xfId="0" applyFont="1" applyFill="1" applyBorder="1"/>
    <xf numFmtId="2" fontId="4" fillId="0" borderId="11" xfId="0" applyNumberFormat="1" applyFont="1" applyFill="1" applyBorder="1" applyAlignment="1">
      <alignment horizontal="center"/>
    </xf>
    <xf numFmtId="0" fontId="15" fillId="0" borderId="29" xfId="0" applyFont="1" applyFill="1" applyBorder="1"/>
    <xf numFmtId="0" fontId="15" fillId="0" borderId="14" xfId="0" applyFont="1" applyBorder="1"/>
    <xf numFmtId="0" fontId="16" fillId="0" borderId="0" xfId="0" applyFont="1" applyBorder="1"/>
    <xf numFmtId="0" fontId="16" fillId="0" borderId="9" xfId="0" applyFont="1" applyBorder="1"/>
    <xf numFmtId="2" fontId="16" fillId="0" borderId="9" xfId="0" applyNumberFormat="1" applyFont="1" applyBorder="1"/>
    <xf numFmtId="0" fontId="16" fillId="0" borderId="33" xfId="0" applyFont="1" applyBorder="1"/>
    <xf numFmtId="0" fontId="16" fillId="0" borderId="29" xfId="0" applyFont="1" applyBorder="1"/>
    <xf numFmtId="0" fontId="16" fillId="0" borderId="6" xfId="0" applyFont="1" applyBorder="1"/>
    <xf numFmtId="0" fontId="16" fillId="0" borderId="34" xfId="0" applyFont="1" applyBorder="1"/>
    <xf numFmtId="0" fontId="17" fillId="2" borderId="24" xfId="0" applyFont="1" applyFill="1" applyBorder="1"/>
    <xf numFmtId="0" fontId="17" fillId="2" borderId="5" xfId="0" applyFont="1" applyFill="1" applyBorder="1"/>
    <xf numFmtId="0" fontId="18" fillId="2" borderId="5" xfId="0" applyFont="1" applyFill="1" applyBorder="1"/>
    <xf numFmtId="0" fontId="19" fillId="2" borderId="25" xfId="0" applyFont="1" applyFill="1" applyBorder="1"/>
    <xf numFmtId="0" fontId="20" fillId="0" borderId="24" xfId="0" applyFont="1" applyBorder="1"/>
    <xf numFmtId="0" fontId="16" fillId="0" borderId="15" xfId="0" applyFont="1" applyBorder="1"/>
    <xf numFmtId="0" fontId="16" fillId="0" borderId="5" xfId="0" applyFont="1" applyBorder="1" applyAlignment="1">
      <alignment horizontal="left"/>
    </xf>
    <xf numFmtId="0" fontId="16" fillId="0" borderId="5" xfId="0" applyFont="1" applyBorder="1"/>
    <xf numFmtId="0" fontId="16" fillId="0" borderId="24" xfId="0" applyFont="1" applyBorder="1"/>
    <xf numFmtId="0" fontId="16" fillId="0" borderId="7" xfId="0" applyFont="1" applyBorder="1" applyAlignment="1">
      <alignment horizontal="left"/>
    </xf>
    <xf numFmtId="0" fontId="16" fillId="0" borderId="25" xfId="0" applyFont="1" applyBorder="1"/>
    <xf numFmtId="0" fontId="16" fillId="0" borderId="13" xfId="0" applyFont="1" applyBorder="1" applyAlignment="1">
      <alignment horizontal="left"/>
    </xf>
    <xf numFmtId="0" fontId="16" fillId="0" borderId="14" xfId="0" applyFont="1" applyBorder="1"/>
    <xf numFmtId="0" fontId="16" fillId="0" borderId="6" xfId="0" applyFont="1" applyBorder="1" applyAlignment="1">
      <alignment horizontal="left"/>
    </xf>
    <xf numFmtId="0" fontId="21" fillId="0" borderId="6" xfId="0" applyFont="1" applyBorder="1"/>
    <xf numFmtId="0" fontId="22" fillId="2" borderId="24" xfId="0" applyFont="1" applyFill="1" applyBorder="1"/>
    <xf numFmtId="0" fontId="22" fillId="2" borderId="5" xfId="0" applyFont="1" applyFill="1" applyBorder="1"/>
    <xf numFmtId="0" fontId="22" fillId="2" borderId="5" xfId="0" applyFont="1" applyFill="1" applyBorder="1" applyAlignment="1">
      <alignment horizontal="left"/>
    </xf>
    <xf numFmtId="0" fontId="23" fillId="2" borderId="25" xfId="0" applyFont="1" applyFill="1" applyBorder="1"/>
    <xf numFmtId="0" fontId="16" fillId="0" borderId="32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4" fillId="0" borderId="19" xfId="0" applyFont="1" applyBorder="1"/>
    <xf numFmtId="0" fontId="4" fillId="0" borderId="20" xfId="0" applyFont="1" applyBorder="1"/>
    <xf numFmtId="0" fontId="4" fillId="0" borderId="26" xfId="0" applyFont="1" applyBorder="1"/>
    <xf numFmtId="0" fontId="4" fillId="0" borderId="27" xfId="0" applyFont="1" applyBorder="1"/>
    <xf numFmtId="0" fontId="10" fillId="0" borderId="28" xfId="0" applyFont="1" applyBorder="1"/>
    <xf numFmtId="0" fontId="10" fillId="0" borderId="0" xfId="0" applyFont="1" applyBorder="1"/>
    <xf numFmtId="0" fontId="25" fillId="0" borderId="18" xfId="0" applyFont="1" applyBorder="1" applyAlignment="1">
      <alignment horizontal="center"/>
    </xf>
    <xf numFmtId="0" fontId="26" fillId="0" borderId="11" xfId="0" applyFont="1" applyBorder="1"/>
    <xf numFmtId="0" fontId="26" fillId="0" borderId="12" xfId="0" applyFont="1" applyBorder="1"/>
    <xf numFmtId="0" fontId="26" fillId="0" borderId="13" xfId="0" applyFont="1" applyBorder="1"/>
    <xf numFmtId="0" fontId="26" fillId="0" borderId="14" xfId="0" applyFont="1" applyBorder="1"/>
    <xf numFmtId="0" fontId="27" fillId="0" borderId="0" xfId="0" applyFont="1"/>
    <xf numFmtId="0" fontId="0" fillId="0" borderId="0" xfId="0" applyFont="1"/>
    <xf numFmtId="0" fontId="15" fillId="0" borderId="6" xfId="0" applyFont="1" applyBorder="1"/>
    <xf numFmtId="0" fontId="13" fillId="0" borderId="24" xfId="0" applyFont="1" applyBorder="1"/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13" fillId="0" borderId="11" xfId="0" applyFont="1" applyBorder="1"/>
    <xf numFmtId="0" fontId="31" fillId="0" borderId="16" xfId="0" applyFont="1" applyBorder="1" applyAlignment="1">
      <alignment horizontal="center" vertical="center"/>
    </xf>
    <xf numFmtId="0" fontId="4" fillId="0" borderId="21" xfId="0" applyFont="1" applyBorder="1"/>
    <xf numFmtId="0" fontId="4" fillId="0" borderId="45" xfId="0" applyFont="1" applyBorder="1"/>
    <xf numFmtId="0" fontId="30" fillId="0" borderId="8" xfId="0" applyFont="1" applyBorder="1"/>
    <xf numFmtId="0" fontId="30" fillId="0" borderId="9" xfId="0" applyFont="1" applyBorder="1"/>
    <xf numFmtId="0" fontId="30" fillId="0" borderId="10" xfId="0" applyFont="1" applyBorder="1"/>
    <xf numFmtId="0" fontId="30" fillId="0" borderId="13" xfId="0" applyFont="1" applyBorder="1"/>
    <xf numFmtId="0" fontId="30" fillId="0" borderId="6" xfId="0" applyFont="1" applyBorder="1"/>
    <xf numFmtId="0" fontId="30" fillId="0" borderId="14" xfId="0" applyFont="1" applyBorder="1"/>
    <xf numFmtId="0" fontId="30" fillId="0" borderId="11" xfId="0" applyFont="1" applyBorder="1"/>
    <xf numFmtId="0" fontId="30" fillId="0" borderId="0" xfId="0" applyFont="1" applyBorder="1"/>
    <xf numFmtId="0" fontId="30" fillId="0" borderId="12" xfId="0" applyFont="1" applyBorder="1"/>
    <xf numFmtId="0" fontId="40" fillId="0" borderId="13" xfId="1" applyFont="1" applyBorder="1"/>
    <xf numFmtId="0" fontId="40" fillId="0" borderId="6" xfId="0" applyFont="1" applyBorder="1"/>
    <xf numFmtId="0" fontId="40" fillId="0" borderId="14" xfId="0" applyFont="1" applyBorder="1"/>
    <xf numFmtId="0" fontId="4" fillId="0" borderId="7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35" fillId="0" borderId="11" xfId="0" applyFont="1" applyBorder="1" applyAlignment="1">
      <alignment horizontal="center"/>
    </xf>
    <xf numFmtId="0" fontId="35" fillId="0" borderId="0" xfId="0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0" fontId="35" fillId="0" borderId="13" xfId="0" applyFont="1" applyBorder="1"/>
    <xf numFmtId="0" fontId="35" fillId="0" borderId="6" xfId="0" applyFont="1" applyBorder="1"/>
    <xf numFmtId="0" fontId="35" fillId="0" borderId="14" xfId="0" applyFont="1" applyBorder="1"/>
    <xf numFmtId="0" fontId="4" fillId="0" borderId="5" xfId="0" applyFont="1" applyBorder="1" applyAlignment="1">
      <alignment horizontal="center"/>
    </xf>
    <xf numFmtId="14" fontId="33" fillId="0" borderId="7" xfId="0" quotePrefix="1" applyNumberFormat="1" applyFont="1" applyBorder="1" applyAlignment="1">
      <alignment horizontal="center"/>
    </xf>
    <xf numFmtId="14" fontId="33" fillId="0" borderId="15" xfId="0" quotePrefix="1" applyNumberFormat="1" applyFont="1" applyBorder="1" applyAlignment="1">
      <alignment horizontal="center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5" fillId="0" borderId="7" xfId="0" applyFont="1" applyBorder="1"/>
    <xf numFmtId="0" fontId="4" fillId="0" borderId="5" xfId="0" applyFont="1" applyBorder="1"/>
    <xf numFmtId="0" fontId="4" fillId="0" borderId="15" xfId="0" applyFont="1" applyBorder="1"/>
    <xf numFmtId="14" fontId="31" fillId="0" borderId="7" xfId="0" applyNumberFormat="1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3" fillId="0" borderId="24" xfId="0" applyFont="1" applyBorder="1"/>
    <xf numFmtId="0" fontId="38" fillId="0" borderId="5" xfId="0" applyFont="1" applyBorder="1"/>
    <xf numFmtId="0" fontId="38" fillId="0" borderId="25" xfId="0" applyFont="1" applyBorder="1"/>
    <xf numFmtId="0" fontId="33" fillId="0" borderId="24" xfId="0" applyFont="1" applyBorder="1" applyAlignment="1">
      <alignment horizontal="left"/>
    </xf>
    <xf numFmtId="0" fontId="36" fillId="0" borderId="5" xfId="0" applyFont="1" applyBorder="1" applyAlignment="1">
      <alignment horizontal="left"/>
    </xf>
    <xf numFmtId="0" fontId="36" fillId="0" borderId="25" xfId="0" applyFont="1" applyBorder="1" applyAlignment="1">
      <alignment horizontal="left"/>
    </xf>
    <xf numFmtId="0" fontId="37" fillId="0" borderId="5" xfId="0" applyFont="1" applyBorder="1"/>
    <xf numFmtId="0" fontId="37" fillId="0" borderId="25" xfId="0" applyFont="1" applyBorder="1"/>
    <xf numFmtId="0" fontId="33" fillId="0" borderId="5" xfId="0" applyFont="1" applyBorder="1"/>
    <xf numFmtId="0" fontId="33" fillId="0" borderId="25" xfId="0" applyFont="1" applyBorder="1"/>
    <xf numFmtId="0" fontId="5" fillId="2" borderId="4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16" fillId="0" borderId="24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5" fillId="0" borderId="5" xfId="0" applyFont="1" applyBorder="1"/>
    <xf numFmtId="0" fontId="5" fillId="0" borderId="15" xfId="0" applyFont="1" applyBorder="1"/>
    <xf numFmtId="0" fontId="16" fillId="0" borderId="5" xfId="0" applyFont="1" applyBorder="1"/>
    <xf numFmtId="0" fontId="21" fillId="0" borderId="5" xfId="0" applyFont="1" applyBorder="1"/>
    <xf numFmtId="0" fontId="21" fillId="0" borderId="15" xfId="0" applyFont="1" applyBorder="1"/>
    <xf numFmtId="0" fontId="32" fillId="0" borderId="1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2" xfId="0" applyFont="1" applyBorder="1" applyAlignment="1">
      <alignment horizontal="left" vertical="center"/>
    </xf>
    <xf numFmtId="0" fontId="5" fillId="0" borderId="25" xfId="0" applyFont="1" applyBorder="1"/>
    <xf numFmtId="0" fontId="30" fillId="0" borderId="7" xfId="0" applyFont="1" applyBorder="1"/>
    <xf numFmtId="0" fontId="30" fillId="0" borderId="5" xfId="0" applyFont="1" applyBorder="1"/>
    <xf numFmtId="0" fontId="30" fillId="0" borderId="25" xfId="0" applyFont="1" applyBorder="1"/>
    <xf numFmtId="0" fontId="11" fillId="0" borderId="7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4" fillId="2" borderId="8" xfId="0" applyFont="1" applyFill="1" applyBorder="1"/>
    <xf numFmtId="0" fontId="4" fillId="2" borderId="9" xfId="0" applyFont="1" applyFill="1" applyBorder="1"/>
    <xf numFmtId="0" fontId="4" fillId="2" borderId="13" xfId="0" applyFont="1" applyFill="1" applyBorder="1"/>
    <xf numFmtId="0" fontId="4" fillId="2" borderId="6" xfId="0" applyFont="1" applyFill="1" applyBorder="1"/>
    <xf numFmtId="0" fontId="30" fillId="0" borderId="24" xfId="0" applyFont="1" applyBorder="1" applyAlignment="1">
      <alignment horizontal="left"/>
    </xf>
    <xf numFmtId="0" fontId="30" fillId="0" borderId="5" xfId="0" applyFont="1" applyBorder="1" applyAlignment="1">
      <alignment horizontal="left"/>
    </xf>
    <xf numFmtId="0" fontId="30" fillId="0" borderId="15" xfId="0" applyFont="1" applyBorder="1" applyAlignment="1">
      <alignment horizontal="left"/>
    </xf>
    <xf numFmtId="0" fontId="30" fillId="0" borderId="24" xfId="0" applyFont="1" applyBorder="1"/>
    <xf numFmtId="0" fontId="10" fillId="0" borderId="5" xfId="0" applyFont="1" applyBorder="1"/>
    <xf numFmtId="0" fontId="10" fillId="0" borderId="15" xfId="0" applyFont="1" applyBorder="1"/>
    <xf numFmtId="0" fontId="31" fillId="0" borderId="7" xfId="0" applyFont="1" applyBorder="1"/>
    <xf numFmtId="0" fontId="29" fillId="0" borderId="5" xfId="0" applyFont="1" applyBorder="1"/>
    <xf numFmtId="0" fontId="29" fillId="0" borderId="15" xfId="0" applyFont="1" applyBorder="1"/>
    <xf numFmtId="0" fontId="31" fillId="0" borderId="5" xfId="0" applyFont="1" applyBorder="1"/>
    <xf numFmtId="0" fontId="31" fillId="0" borderId="15" xfId="0" applyFont="1" applyBorder="1"/>
    <xf numFmtId="0" fontId="3" fillId="0" borderId="24" xfId="0" applyFont="1" applyBorder="1"/>
    <xf numFmtId="0" fontId="3" fillId="0" borderId="5" xfId="0" applyFont="1" applyBorder="1"/>
    <xf numFmtId="0" fontId="3" fillId="0" borderId="25" xfId="0" applyFont="1" applyBorder="1"/>
    <xf numFmtId="0" fontId="31" fillId="0" borderId="43" xfId="0" applyFont="1" applyBorder="1"/>
    <xf numFmtId="0" fontId="31" fillId="0" borderId="41" xfId="0" applyFont="1" applyBorder="1"/>
    <xf numFmtId="0" fontId="31" fillId="0" borderId="27" xfId="0" applyFont="1" applyBorder="1"/>
    <xf numFmtId="0" fontId="24" fillId="0" borderId="43" xfId="0" applyFont="1" applyBorder="1"/>
    <xf numFmtId="0" fontId="4" fillId="0" borderId="41" xfId="0" applyFont="1" applyBorder="1"/>
    <xf numFmtId="0" fontId="4" fillId="0" borderId="4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5C9C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240507</xdr:colOff>
      <xdr:row>25</xdr:row>
      <xdr:rowOff>3971</xdr:rowOff>
    </xdr:from>
    <xdr:to>
      <xdr:col>2</xdr:col>
      <xdr:colOff>242095</xdr:colOff>
      <xdr:row>28</xdr:row>
      <xdr:rowOff>178596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rot="5400000">
          <a:off x="1484313" y="5091115"/>
          <a:ext cx="7270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237332</xdr:colOff>
      <xdr:row>25</xdr:row>
      <xdr:rowOff>795</xdr:rowOff>
    </xdr:from>
    <xdr:to>
      <xdr:col>5</xdr:col>
      <xdr:colOff>238920</xdr:colOff>
      <xdr:row>28</xdr:row>
      <xdr:rowOff>181770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rot="5400000">
          <a:off x="3462338" y="5138739"/>
          <a:ext cx="7524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249238</xdr:colOff>
      <xdr:row>29</xdr:row>
      <xdr:rowOff>187327</xdr:rowOff>
    </xdr:from>
    <xdr:to>
      <xdr:col>2</xdr:col>
      <xdr:colOff>250826</xdr:colOff>
      <xdr:row>43</xdr:row>
      <xdr:rowOff>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rot="5400000">
          <a:off x="502445" y="7355683"/>
          <a:ext cx="2495549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246351</xdr:colOff>
      <xdr:row>30</xdr:row>
      <xdr:rowOff>7216</xdr:rowOff>
    </xdr:from>
    <xdr:to>
      <xdr:col>5</xdr:col>
      <xdr:colOff>247650</xdr:colOff>
      <xdr:row>42</xdr:row>
      <xdr:rowOff>190499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rot="16200000" flipH="1">
          <a:off x="2714409" y="6956208"/>
          <a:ext cx="2469283" cy="129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517236</xdr:colOff>
      <xdr:row>30</xdr:row>
      <xdr:rowOff>2022</xdr:rowOff>
    </xdr:from>
    <xdr:to>
      <xdr:col>8</xdr:col>
      <xdr:colOff>519978</xdr:colOff>
      <xdr:row>43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rot="5400000">
          <a:off x="4312300" y="6952890"/>
          <a:ext cx="2474478" cy="27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516262</xdr:colOff>
      <xdr:row>25</xdr:row>
      <xdr:rowOff>8282</xdr:rowOff>
    </xdr:from>
    <xdr:to>
      <xdr:col>8</xdr:col>
      <xdr:colOff>521803</xdr:colOff>
      <xdr:row>29</xdr:row>
      <xdr:rowOff>8282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5576936" y="5176630"/>
          <a:ext cx="5541" cy="762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332105</xdr:colOff>
      <xdr:row>4</xdr:row>
      <xdr:rowOff>10795</xdr:rowOff>
    </xdr:to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920" y="0"/>
          <a:ext cx="1516380" cy="784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view="pageLayout" topLeftCell="A61" zoomScale="120" zoomScaleNormal="115" zoomScalePageLayoutView="120" workbookViewId="0">
      <selection activeCell="A75" sqref="A75:XFD86"/>
    </sheetView>
  </sheetViews>
  <sheetFormatPr defaultColWidth="8.81640625" defaultRowHeight="14.5" x14ac:dyDescent="0.35"/>
  <cols>
    <col min="1" max="2" width="11.1796875" style="8" customWidth="1"/>
    <col min="3" max="3" width="7.81640625" style="8" customWidth="1"/>
    <col min="4" max="4" width="8.81640625" style="8"/>
    <col min="5" max="5" width="16.453125" style="8" customWidth="1"/>
    <col min="6" max="6" width="7.1796875" style="8" customWidth="1"/>
    <col min="7" max="8" width="6.453125" style="8" customWidth="1"/>
    <col min="9" max="9" width="8.54296875" style="8" customWidth="1"/>
    <col min="10" max="10" width="2.81640625" style="8" customWidth="1"/>
    <col min="11" max="16384" width="8.81640625" style="8"/>
  </cols>
  <sheetData>
    <row r="1" spans="1:10" x14ac:dyDescent="0.35">
      <c r="A1" s="1"/>
      <c r="B1" s="2" t="s">
        <v>2</v>
      </c>
      <c r="C1" s="3"/>
      <c r="D1" s="4"/>
      <c r="E1" s="5"/>
      <c r="F1" s="5"/>
      <c r="G1" s="5"/>
      <c r="H1" s="5"/>
      <c r="I1" s="6"/>
      <c r="J1" s="7"/>
    </row>
    <row r="2" spans="1:10" x14ac:dyDescent="0.35">
      <c r="A2" s="9"/>
      <c r="B2" s="10" t="s">
        <v>3</v>
      </c>
      <c r="C2" s="11"/>
      <c r="D2" s="12"/>
      <c r="E2" s="13"/>
      <c r="F2" s="13"/>
      <c r="G2" s="13"/>
      <c r="H2" s="14"/>
      <c r="I2" s="14"/>
      <c r="J2" s="15"/>
    </row>
    <row r="3" spans="1:10" ht="18" x14ac:dyDescent="0.4">
      <c r="A3" s="16"/>
      <c r="B3" s="17" t="s">
        <v>1</v>
      </c>
      <c r="C3" s="18"/>
      <c r="D3" s="12" t="s">
        <v>95</v>
      </c>
      <c r="E3" s="19"/>
      <c r="F3" s="13"/>
      <c r="G3" s="20"/>
      <c r="H3" s="14"/>
      <c r="I3" s="14"/>
      <c r="J3" s="15"/>
    </row>
    <row r="4" spans="1:10" ht="14.4" customHeight="1" x14ac:dyDescent="0.4">
      <c r="A4" s="21" t="s">
        <v>91</v>
      </c>
      <c r="B4" s="162" t="s">
        <v>125</v>
      </c>
      <c r="C4" s="185"/>
      <c r="D4" s="186"/>
      <c r="E4" s="23"/>
      <c r="F4" s="14"/>
      <c r="G4" s="20"/>
      <c r="H4" s="14"/>
      <c r="I4" s="14"/>
      <c r="J4" s="15"/>
    </row>
    <row r="5" spans="1:10" ht="14.5" customHeight="1" x14ac:dyDescent="0.35">
      <c r="A5" s="24" t="s">
        <v>106</v>
      </c>
      <c r="B5" s="25" t="s">
        <v>0</v>
      </c>
      <c r="C5" s="157">
        <v>44021</v>
      </c>
      <c r="D5" s="158"/>
      <c r="E5" s="190" t="s">
        <v>110</v>
      </c>
      <c r="F5" s="191"/>
      <c r="G5" s="191"/>
      <c r="H5" s="191"/>
      <c r="I5" s="191"/>
      <c r="J5" s="192"/>
    </row>
    <row r="6" spans="1:10" ht="15" customHeight="1" x14ac:dyDescent="0.35">
      <c r="A6" s="21" t="s">
        <v>5</v>
      </c>
      <c r="B6" s="194" t="s">
        <v>114</v>
      </c>
      <c r="C6" s="208"/>
      <c r="D6" s="209"/>
      <c r="E6" s="125" t="s">
        <v>111</v>
      </c>
      <c r="F6" s="123"/>
      <c r="G6" s="126" t="s">
        <v>112</v>
      </c>
      <c r="H6" s="27"/>
      <c r="I6" s="27"/>
      <c r="J6" s="28"/>
    </row>
    <row r="7" spans="1:10" x14ac:dyDescent="0.35">
      <c r="A7" s="204" t="s">
        <v>115</v>
      </c>
      <c r="B7" s="205"/>
      <c r="C7" s="205"/>
      <c r="D7" s="206"/>
      <c r="E7" s="29" t="s">
        <v>109</v>
      </c>
      <c r="F7" s="162"/>
      <c r="G7" s="185"/>
      <c r="H7" s="185"/>
      <c r="I7" s="185"/>
      <c r="J7" s="193"/>
    </row>
    <row r="8" spans="1:10" x14ac:dyDescent="0.35">
      <c r="A8" s="207" t="s">
        <v>116</v>
      </c>
      <c r="B8" s="208"/>
      <c r="C8" s="208"/>
      <c r="D8" s="209"/>
      <c r="E8" s="30" t="s">
        <v>4</v>
      </c>
      <c r="F8" s="194" t="s">
        <v>118</v>
      </c>
      <c r="G8" s="195"/>
      <c r="H8" s="195"/>
      <c r="I8" s="195"/>
      <c r="J8" s="196"/>
    </row>
    <row r="9" spans="1:10" x14ac:dyDescent="0.35">
      <c r="A9" s="31" t="s">
        <v>36</v>
      </c>
      <c r="B9" s="210" t="s">
        <v>128</v>
      </c>
      <c r="C9" s="211"/>
      <c r="D9" s="212"/>
      <c r="E9" s="33" t="s">
        <v>35</v>
      </c>
      <c r="F9" s="194" t="s">
        <v>117</v>
      </c>
      <c r="G9" s="195"/>
      <c r="H9" s="195"/>
      <c r="I9" s="195"/>
      <c r="J9" s="196"/>
    </row>
    <row r="10" spans="1:10" ht="16.5" x14ac:dyDescent="0.35">
      <c r="A10" s="24" t="s">
        <v>6</v>
      </c>
      <c r="B10" s="210" t="s">
        <v>113</v>
      </c>
      <c r="C10" s="213"/>
      <c r="D10" s="214"/>
      <c r="E10" s="30" t="s">
        <v>7</v>
      </c>
      <c r="F10" s="197"/>
      <c r="G10" s="198"/>
      <c r="H10" s="198"/>
      <c r="I10" s="198"/>
      <c r="J10" s="199"/>
    </row>
    <row r="11" spans="1:10" x14ac:dyDescent="0.35">
      <c r="A11" s="36" t="s">
        <v>9</v>
      </c>
      <c r="B11" s="35"/>
      <c r="C11" s="37"/>
      <c r="D11" s="35" t="s">
        <v>16</v>
      </c>
      <c r="E11" s="37"/>
      <c r="F11" s="38"/>
      <c r="G11" s="38"/>
      <c r="H11" s="38"/>
      <c r="I11" s="39"/>
      <c r="J11" s="34"/>
    </row>
    <row r="12" spans="1:10" x14ac:dyDescent="0.35">
      <c r="A12" s="40" t="s">
        <v>10</v>
      </c>
      <c r="B12" s="26"/>
      <c r="C12" s="32"/>
      <c r="D12" s="26" t="s">
        <v>17</v>
      </c>
      <c r="E12" s="32"/>
      <c r="F12" s="38" t="s">
        <v>25</v>
      </c>
      <c r="G12" s="35" t="s">
        <v>26</v>
      </c>
      <c r="H12" s="38" t="s">
        <v>27</v>
      </c>
      <c r="I12" s="35" t="s">
        <v>28</v>
      </c>
      <c r="J12" s="15"/>
    </row>
    <row r="13" spans="1:10" x14ac:dyDescent="0.35">
      <c r="A13" s="41" t="s">
        <v>11</v>
      </c>
      <c r="B13" s="12"/>
      <c r="C13" s="12" t="s">
        <v>8</v>
      </c>
      <c r="D13" s="42" t="s">
        <v>18</v>
      </c>
      <c r="E13" s="35"/>
      <c r="F13" s="43">
        <f>COUNTIF($C$26:$C$43,"s")+COUNTIF($F$26:$F$43,"s")+COUNTIF($J$26:$J$43,"s")+COUNTIF($I$26:$I$43,"s")</f>
        <v>0</v>
      </c>
      <c r="G13" s="44">
        <v>4</v>
      </c>
      <c r="H13" s="43">
        <f>F13*G13</f>
        <v>0</v>
      </c>
      <c r="I13" s="45" t="s">
        <v>30</v>
      </c>
      <c r="J13" s="46"/>
    </row>
    <row r="14" spans="1:10" x14ac:dyDescent="0.35">
      <c r="A14" s="124" t="s">
        <v>154</v>
      </c>
      <c r="B14" s="22"/>
      <c r="C14" s="128"/>
      <c r="D14" s="48" t="s">
        <v>107</v>
      </c>
      <c r="E14" s="26"/>
      <c r="F14" s="49"/>
      <c r="G14" s="50"/>
      <c r="H14" s="49"/>
      <c r="I14" s="51" t="s">
        <v>29</v>
      </c>
      <c r="J14" s="15"/>
    </row>
    <row r="15" spans="1:10" x14ac:dyDescent="0.35">
      <c r="A15" s="41" t="s">
        <v>12</v>
      </c>
      <c r="B15" s="12"/>
      <c r="C15" s="52">
        <v>0</v>
      </c>
      <c r="D15" s="53" t="s">
        <v>19</v>
      </c>
      <c r="E15" s="54"/>
      <c r="F15" s="43">
        <f>COUNTIF($C$26:$C$43,"A")+COUNTIF($F$26:$F$43,"A")+COUNTIF($J$26:$J$43,"A")+COUNTIF($I$26:$I$43,"A")</f>
        <v>3</v>
      </c>
      <c r="G15" s="55">
        <v>3</v>
      </c>
      <c r="H15" s="43">
        <f>F15*G15</f>
        <v>9</v>
      </c>
      <c r="I15" s="51" t="s">
        <v>31</v>
      </c>
      <c r="J15" s="15"/>
    </row>
    <row r="16" spans="1:10" x14ac:dyDescent="0.35">
      <c r="A16" s="47" t="s">
        <v>97</v>
      </c>
      <c r="B16" s="22"/>
      <c r="C16" s="52">
        <v>0</v>
      </c>
      <c r="D16" s="53" t="s">
        <v>20</v>
      </c>
      <c r="E16" s="54"/>
      <c r="F16" s="56"/>
      <c r="G16" s="55"/>
      <c r="H16" s="49"/>
      <c r="I16" s="57" t="s">
        <v>99</v>
      </c>
      <c r="J16" s="15"/>
    </row>
    <row r="17" spans="1:10" x14ac:dyDescent="0.35">
      <c r="A17" s="41" t="s">
        <v>98</v>
      </c>
      <c r="B17" s="12"/>
      <c r="C17" s="52">
        <v>0</v>
      </c>
      <c r="D17" s="42" t="s">
        <v>21</v>
      </c>
      <c r="E17" s="35"/>
      <c r="F17" s="43">
        <f>COUNTIF($C$26:$C$43,"b")+COUNTIF($F$26:$F$43,"b")+COUNTIF($J$26:$J$43,"b")+COUNTIF($I$26:$I$43,"b")</f>
        <v>0</v>
      </c>
      <c r="G17" s="44">
        <v>2</v>
      </c>
      <c r="H17" s="43">
        <f>F17*G17</f>
        <v>0</v>
      </c>
      <c r="I17" s="51" t="s">
        <v>32</v>
      </c>
      <c r="J17" s="15"/>
    </row>
    <row r="18" spans="1:10" x14ac:dyDescent="0.35">
      <c r="A18" s="47" t="s">
        <v>13</v>
      </c>
      <c r="B18" s="22"/>
      <c r="C18" s="52">
        <v>0</v>
      </c>
      <c r="D18" s="48" t="s">
        <v>22</v>
      </c>
      <c r="E18" s="26"/>
      <c r="F18" s="49"/>
      <c r="G18" s="50"/>
      <c r="H18" s="49"/>
      <c r="I18" s="58" t="s">
        <v>33</v>
      </c>
      <c r="J18" s="28"/>
    </row>
    <row r="19" spans="1:10" x14ac:dyDescent="0.35">
      <c r="A19" s="40" t="s">
        <v>14</v>
      </c>
      <c r="B19" s="32"/>
      <c r="C19" s="52">
        <v>0</v>
      </c>
      <c r="D19" s="59" t="s">
        <v>23</v>
      </c>
      <c r="E19" s="60"/>
      <c r="F19" s="43">
        <f>COUNTIF($C$26:$C$43,"c")+COUNTIF($F$26:$F$43,"c")+COUNTIF($J$26:$J$43,"c")+COUNTIF($I$26:$I$43,"c")</f>
        <v>0</v>
      </c>
      <c r="G19" s="61">
        <v>1</v>
      </c>
      <c r="H19" s="43">
        <f>F19*G19</f>
        <v>0</v>
      </c>
      <c r="I19" s="200"/>
      <c r="J19" s="201"/>
    </row>
    <row r="20" spans="1:10" x14ac:dyDescent="0.35">
      <c r="A20" s="36" t="s">
        <v>15</v>
      </c>
      <c r="B20" s="37"/>
      <c r="C20" s="52">
        <v>1</v>
      </c>
      <c r="D20" s="59" t="s">
        <v>24</v>
      </c>
      <c r="E20" s="60"/>
      <c r="F20" s="62"/>
      <c r="G20" s="63"/>
      <c r="H20" s="49"/>
      <c r="I20" s="202"/>
      <c r="J20" s="203"/>
    </row>
    <row r="21" spans="1:10" x14ac:dyDescent="0.35">
      <c r="A21" s="178"/>
      <c r="B21" s="179"/>
      <c r="C21" s="179"/>
      <c r="D21" s="179"/>
      <c r="E21" s="64" t="s">
        <v>34</v>
      </c>
      <c r="F21" s="65">
        <f>SUM(F13:F20)</f>
        <v>3</v>
      </c>
      <c r="G21" s="180"/>
      <c r="H21" s="64">
        <f>SUM(H13:H20)</f>
        <v>9</v>
      </c>
      <c r="I21" s="66" t="s">
        <v>28</v>
      </c>
      <c r="J21" s="46"/>
    </row>
    <row r="22" spans="1:10" x14ac:dyDescent="0.35">
      <c r="A22" s="178"/>
      <c r="B22" s="179"/>
      <c r="C22" s="179"/>
      <c r="D22" s="179"/>
      <c r="E22" s="12"/>
      <c r="F22" s="67"/>
      <c r="G22" s="181"/>
      <c r="H22" s="12"/>
      <c r="I22" s="68">
        <f>100-(100/(200-(COUNTIF($C$26:$J$43,"X")*4)))*$H$21</f>
        <v>95.5</v>
      </c>
      <c r="J22" s="15" t="s">
        <v>93</v>
      </c>
    </row>
    <row r="23" spans="1:10" x14ac:dyDescent="0.35">
      <c r="A23" s="69" t="s">
        <v>92</v>
      </c>
      <c r="B23" s="70"/>
      <c r="C23" s="71" t="s">
        <v>94</v>
      </c>
      <c r="D23" s="71"/>
      <c r="E23" s="72"/>
      <c r="F23" s="72"/>
      <c r="G23" s="72"/>
      <c r="H23" s="72"/>
      <c r="I23" s="73"/>
      <c r="J23" s="74"/>
    </row>
    <row r="24" spans="1:10" x14ac:dyDescent="0.35">
      <c r="A24" s="75" t="s">
        <v>90</v>
      </c>
      <c r="B24" s="76"/>
      <c r="C24" s="76"/>
      <c r="D24" s="76"/>
      <c r="E24" s="76"/>
      <c r="F24" s="76"/>
      <c r="G24" s="76"/>
      <c r="H24" s="76"/>
      <c r="I24" s="76"/>
      <c r="J24" s="77"/>
    </row>
    <row r="25" spans="1:10" x14ac:dyDescent="0.35">
      <c r="A25" s="78"/>
      <c r="B25" s="79"/>
      <c r="C25" s="79"/>
      <c r="D25" s="80" t="s">
        <v>37</v>
      </c>
      <c r="E25" s="79"/>
      <c r="F25" s="79"/>
      <c r="G25" s="79"/>
      <c r="H25" s="79"/>
      <c r="I25" s="79"/>
      <c r="J25" s="81"/>
    </row>
    <row r="26" spans="1:10" x14ac:dyDescent="0.35">
      <c r="A26" s="82" t="s">
        <v>40</v>
      </c>
      <c r="B26" s="83"/>
      <c r="C26" s="84" t="s">
        <v>104</v>
      </c>
      <c r="D26" s="85" t="s">
        <v>44</v>
      </c>
      <c r="E26" s="83"/>
      <c r="F26" s="84" t="s">
        <v>104</v>
      </c>
      <c r="G26" s="187" t="s">
        <v>46</v>
      </c>
      <c r="H26" s="187"/>
      <c r="I26" s="187"/>
      <c r="J26" s="88" t="s">
        <v>104</v>
      </c>
    </row>
    <row r="27" spans="1:10" x14ac:dyDescent="0.35">
      <c r="A27" s="86" t="s">
        <v>41</v>
      </c>
      <c r="B27" s="85"/>
      <c r="C27" s="87" t="s">
        <v>104</v>
      </c>
      <c r="D27" s="188" t="s">
        <v>38</v>
      </c>
      <c r="E27" s="189"/>
      <c r="F27" s="84" t="s">
        <v>104</v>
      </c>
      <c r="G27" s="85" t="s">
        <v>47</v>
      </c>
      <c r="H27" s="85"/>
      <c r="I27" s="85"/>
      <c r="J27" s="88" t="s">
        <v>104</v>
      </c>
    </row>
    <row r="28" spans="1:10" x14ac:dyDescent="0.35">
      <c r="A28" s="86" t="s">
        <v>42</v>
      </c>
      <c r="B28" s="85"/>
      <c r="C28" s="89" t="s">
        <v>104</v>
      </c>
      <c r="D28" s="76" t="s">
        <v>39</v>
      </c>
      <c r="E28" s="90"/>
      <c r="F28" s="91" t="s">
        <v>104</v>
      </c>
      <c r="G28" s="187" t="s">
        <v>48</v>
      </c>
      <c r="H28" s="187"/>
      <c r="I28" s="187"/>
      <c r="J28" s="77" t="s">
        <v>104</v>
      </c>
    </row>
    <row r="29" spans="1:10" x14ac:dyDescent="0.35">
      <c r="A29" s="75" t="s">
        <v>43</v>
      </c>
      <c r="B29" s="76"/>
      <c r="C29" s="89" t="s">
        <v>104</v>
      </c>
      <c r="D29" s="92" t="s">
        <v>45</v>
      </c>
      <c r="E29" s="90"/>
      <c r="F29" s="91" t="s">
        <v>104</v>
      </c>
      <c r="G29" s="187" t="s">
        <v>49</v>
      </c>
      <c r="H29" s="187"/>
      <c r="I29" s="187"/>
      <c r="J29" s="77" t="s">
        <v>104</v>
      </c>
    </row>
    <row r="30" spans="1:10" x14ac:dyDescent="0.35">
      <c r="A30" s="93"/>
      <c r="B30" s="94"/>
      <c r="C30" s="95"/>
      <c r="D30" s="94"/>
      <c r="E30" s="80" t="s">
        <v>50</v>
      </c>
      <c r="F30" s="95"/>
      <c r="G30" s="94"/>
      <c r="H30" s="94"/>
      <c r="I30" s="94"/>
      <c r="J30" s="96"/>
    </row>
    <row r="31" spans="1:10" x14ac:dyDescent="0.35">
      <c r="A31" s="97" t="s">
        <v>51</v>
      </c>
      <c r="B31" s="98"/>
      <c r="C31" s="99" t="s">
        <v>104</v>
      </c>
      <c r="D31" s="100" t="s">
        <v>88</v>
      </c>
      <c r="E31" s="98"/>
      <c r="F31" s="100" t="s">
        <v>104</v>
      </c>
      <c r="G31" s="184" t="s">
        <v>89</v>
      </c>
      <c r="H31" s="184"/>
      <c r="I31" s="184"/>
      <c r="J31" s="101" t="s">
        <v>104</v>
      </c>
    </row>
    <row r="32" spans="1:10" x14ac:dyDescent="0.35">
      <c r="A32" s="102" t="s">
        <v>52</v>
      </c>
      <c r="B32" s="103"/>
      <c r="C32" s="99" t="s">
        <v>104</v>
      </c>
      <c r="D32" s="103" t="s">
        <v>53</v>
      </c>
      <c r="E32" s="104"/>
      <c r="F32" s="100" t="s">
        <v>104</v>
      </c>
      <c r="G32" s="184" t="s">
        <v>122</v>
      </c>
      <c r="H32" s="184"/>
      <c r="I32" s="184"/>
      <c r="J32" s="101" t="s">
        <v>104</v>
      </c>
    </row>
    <row r="33" spans="1:11" x14ac:dyDescent="0.35">
      <c r="A33" s="182" t="s">
        <v>54</v>
      </c>
      <c r="B33" s="183"/>
      <c r="C33" s="99" t="s">
        <v>104</v>
      </c>
      <c r="D33" s="107" t="s">
        <v>55</v>
      </c>
      <c r="E33" s="106"/>
      <c r="F33" s="100" t="s">
        <v>104</v>
      </c>
      <c r="G33" s="184" t="s">
        <v>108</v>
      </c>
      <c r="H33" s="184"/>
      <c r="I33" s="184"/>
      <c r="J33" s="101" t="s">
        <v>104</v>
      </c>
    </row>
    <row r="34" spans="1:11" x14ac:dyDescent="0.35">
      <c r="A34" s="102" t="s">
        <v>101</v>
      </c>
      <c r="B34" s="103"/>
      <c r="C34" s="99" t="s">
        <v>104</v>
      </c>
      <c r="D34" s="103" t="s">
        <v>56</v>
      </c>
      <c r="E34" s="104"/>
      <c r="F34" s="100" t="s">
        <v>104</v>
      </c>
      <c r="G34" s="103" t="s">
        <v>57</v>
      </c>
      <c r="H34" s="103"/>
      <c r="I34" s="103"/>
      <c r="J34" s="101" t="s">
        <v>104</v>
      </c>
    </row>
    <row r="35" spans="1:11" x14ac:dyDescent="0.35">
      <c r="A35" s="105" t="s">
        <v>58</v>
      </c>
      <c r="B35" s="106"/>
      <c r="C35" s="99" t="s">
        <v>104</v>
      </c>
      <c r="D35" s="107" t="s">
        <v>59</v>
      </c>
      <c r="E35" s="106"/>
      <c r="F35" s="100" t="s">
        <v>104</v>
      </c>
      <c r="G35" s="107" t="s">
        <v>121</v>
      </c>
      <c r="H35" s="107"/>
      <c r="I35" s="107"/>
      <c r="J35" s="101" t="s">
        <v>104</v>
      </c>
    </row>
    <row r="36" spans="1:11" x14ac:dyDescent="0.35">
      <c r="A36" s="102" t="s">
        <v>60</v>
      </c>
      <c r="B36" s="103"/>
      <c r="C36" s="99" t="s">
        <v>84</v>
      </c>
      <c r="D36" s="103" t="s">
        <v>61</v>
      </c>
      <c r="E36" s="104"/>
      <c r="F36" s="100" t="s">
        <v>104</v>
      </c>
      <c r="G36" s="103" t="s">
        <v>120</v>
      </c>
      <c r="H36" s="103"/>
      <c r="I36" s="103"/>
      <c r="J36" s="101" t="s">
        <v>104</v>
      </c>
    </row>
    <row r="37" spans="1:11" x14ac:dyDescent="0.35">
      <c r="A37" s="105" t="s">
        <v>100</v>
      </c>
      <c r="B37" s="106"/>
      <c r="C37" s="99" t="s">
        <v>104</v>
      </c>
      <c r="D37" s="107" t="s">
        <v>127</v>
      </c>
      <c r="E37" s="106"/>
      <c r="F37" s="100" t="s">
        <v>104</v>
      </c>
      <c r="G37" s="107" t="s">
        <v>103</v>
      </c>
      <c r="H37" s="107"/>
      <c r="I37" s="107"/>
      <c r="J37" s="101" t="s">
        <v>104</v>
      </c>
    </row>
    <row r="38" spans="1:11" x14ac:dyDescent="0.35">
      <c r="A38" s="102" t="s">
        <v>62</v>
      </c>
      <c r="B38" s="103"/>
      <c r="C38" s="99" t="s">
        <v>104</v>
      </c>
      <c r="D38" s="103" t="s">
        <v>63</v>
      </c>
      <c r="E38" s="104"/>
      <c r="F38" s="100" t="s">
        <v>104</v>
      </c>
      <c r="G38" s="184" t="s">
        <v>64</v>
      </c>
      <c r="H38" s="184"/>
      <c r="I38" s="184"/>
      <c r="J38" s="101" t="s">
        <v>104</v>
      </c>
    </row>
    <row r="39" spans="1:11" x14ac:dyDescent="0.35">
      <c r="A39" s="105" t="s">
        <v>65</v>
      </c>
      <c r="B39" s="106"/>
      <c r="C39" s="99" t="s">
        <v>84</v>
      </c>
      <c r="D39" s="107" t="s">
        <v>66</v>
      </c>
      <c r="E39" s="106"/>
      <c r="F39" s="100" t="s">
        <v>104</v>
      </c>
      <c r="G39" s="184" t="s">
        <v>67</v>
      </c>
      <c r="H39" s="184"/>
      <c r="I39" s="184"/>
      <c r="J39" s="101" t="s">
        <v>104</v>
      </c>
    </row>
    <row r="40" spans="1:11" x14ac:dyDescent="0.35">
      <c r="A40" s="182" t="s">
        <v>129</v>
      </c>
      <c r="B40" s="183"/>
      <c r="C40" s="99" t="s">
        <v>84</v>
      </c>
      <c r="D40" s="103" t="s">
        <v>68</v>
      </c>
      <c r="E40" s="104"/>
      <c r="F40" s="100" t="s">
        <v>104</v>
      </c>
      <c r="G40" s="184" t="s">
        <v>102</v>
      </c>
      <c r="H40" s="184"/>
      <c r="I40" s="184"/>
      <c r="J40" s="101" t="s">
        <v>104</v>
      </c>
    </row>
    <row r="41" spans="1:11" x14ac:dyDescent="0.35">
      <c r="A41" s="182" t="s">
        <v>96</v>
      </c>
      <c r="B41" s="183"/>
      <c r="C41" s="99" t="s">
        <v>104</v>
      </c>
      <c r="D41" s="107" t="s">
        <v>69</v>
      </c>
      <c r="E41" s="106"/>
      <c r="F41" s="100" t="s">
        <v>104</v>
      </c>
      <c r="G41" s="184" t="s">
        <v>70</v>
      </c>
      <c r="H41" s="184"/>
      <c r="I41" s="184"/>
      <c r="J41" s="101" t="s">
        <v>104</v>
      </c>
    </row>
    <row r="42" spans="1:11" x14ac:dyDescent="0.35">
      <c r="A42" s="102" t="s">
        <v>71</v>
      </c>
      <c r="B42" s="103"/>
      <c r="C42" s="99" t="s">
        <v>104</v>
      </c>
      <c r="D42" s="103" t="s">
        <v>72</v>
      </c>
      <c r="E42" s="104"/>
      <c r="F42" s="100" t="s">
        <v>104</v>
      </c>
      <c r="G42" s="103" t="s">
        <v>73</v>
      </c>
      <c r="H42" s="103"/>
      <c r="I42" s="103"/>
      <c r="J42" s="101" t="s">
        <v>104</v>
      </c>
    </row>
    <row r="43" spans="1:11" x14ac:dyDescent="0.35">
      <c r="A43" s="108" t="s">
        <v>74</v>
      </c>
      <c r="B43" s="109"/>
      <c r="C43" s="99" t="s">
        <v>104</v>
      </c>
      <c r="D43" s="184" t="s">
        <v>75</v>
      </c>
      <c r="E43" s="183"/>
      <c r="F43" s="100" t="s">
        <v>104</v>
      </c>
      <c r="G43" s="184" t="s">
        <v>119</v>
      </c>
      <c r="H43" s="184"/>
      <c r="I43" s="184"/>
      <c r="J43" s="101" t="s">
        <v>104</v>
      </c>
    </row>
    <row r="44" spans="1:11" ht="12.65" customHeight="1" x14ac:dyDescent="0.35">
      <c r="A44" s="36" t="s">
        <v>76</v>
      </c>
      <c r="B44" s="35"/>
      <c r="C44" s="35"/>
      <c r="D44" s="176" t="s">
        <v>123</v>
      </c>
      <c r="E44" s="176"/>
      <c r="F44" s="176"/>
      <c r="G44" s="176"/>
      <c r="H44" s="176"/>
      <c r="I44" s="176"/>
      <c r="J44" s="177"/>
    </row>
    <row r="45" spans="1:11" ht="14.4" customHeight="1" x14ac:dyDescent="0.35">
      <c r="A45" s="168" t="s">
        <v>133</v>
      </c>
      <c r="B45" s="169"/>
      <c r="C45" s="169"/>
      <c r="D45" s="169"/>
      <c r="E45" s="169"/>
      <c r="F45" s="169"/>
      <c r="G45" s="169"/>
      <c r="H45" s="169"/>
      <c r="I45" s="169"/>
      <c r="J45" s="170"/>
    </row>
    <row r="46" spans="1:11" ht="12.65" customHeight="1" x14ac:dyDescent="0.35">
      <c r="A46" s="171" t="s">
        <v>136</v>
      </c>
      <c r="B46" s="172"/>
      <c r="C46" s="172"/>
      <c r="D46" s="172"/>
      <c r="E46" s="172"/>
      <c r="F46" s="172"/>
      <c r="G46" s="172"/>
      <c r="H46" s="172"/>
      <c r="I46" s="172"/>
      <c r="J46" s="173"/>
      <c r="K46" s="8" t="s">
        <v>107</v>
      </c>
    </row>
    <row r="47" spans="1:11" ht="12.65" customHeight="1" x14ac:dyDescent="0.35">
      <c r="A47" s="215" t="s">
        <v>132</v>
      </c>
      <c r="B47" s="216"/>
      <c r="C47" s="216"/>
      <c r="D47" s="216"/>
      <c r="E47" s="216"/>
      <c r="F47" s="216"/>
      <c r="G47" s="216"/>
      <c r="H47" s="216"/>
      <c r="I47" s="216"/>
      <c r="J47" s="217"/>
    </row>
    <row r="48" spans="1:11" ht="12.65" customHeight="1" x14ac:dyDescent="0.35">
      <c r="A48" s="168" t="s">
        <v>137</v>
      </c>
      <c r="B48" s="174"/>
      <c r="C48" s="174"/>
      <c r="D48" s="174"/>
      <c r="E48" s="174"/>
      <c r="F48" s="174"/>
      <c r="G48" s="174"/>
      <c r="H48" s="174"/>
      <c r="I48" s="174"/>
      <c r="J48" s="175"/>
    </row>
    <row r="49" spans="1:10" ht="12" customHeight="1" x14ac:dyDescent="0.35">
      <c r="A49" s="168" t="s">
        <v>138</v>
      </c>
      <c r="B49" s="176"/>
      <c r="C49" s="176"/>
      <c r="D49" s="176"/>
      <c r="E49" s="176"/>
      <c r="F49" s="176"/>
      <c r="G49" s="176"/>
      <c r="H49" s="176"/>
      <c r="I49" s="176"/>
      <c r="J49" s="177"/>
    </row>
    <row r="50" spans="1:10" ht="13.25" customHeight="1" thickBot="1" x14ac:dyDescent="0.4">
      <c r="A50" s="168" t="s">
        <v>139</v>
      </c>
      <c r="B50" s="176"/>
      <c r="C50" s="176"/>
      <c r="D50" s="176"/>
      <c r="E50" s="176"/>
      <c r="F50" s="176"/>
      <c r="G50" s="176"/>
      <c r="H50" s="176"/>
      <c r="I50" s="176"/>
      <c r="J50" s="177"/>
    </row>
    <row r="51" spans="1:10" ht="14.5" customHeight="1" x14ac:dyDescent="0.35">
      <c r="A51" s="110" t="s">
        <v>105</v>
      </c>
      <c r="B51" s="129" t="s">
        <v>126</v>
      </c>
      <c r="C51" s="130"/>
      <c r="D51" s="111" t="s">
        <v>77</v>
      </c>
      <c r="E51" s="159" t="s">
        <v>124</v>
      </c>
      <c r="F51" s="160"/>
      <c r="G51" s="160"/>
      <c r="H51" s="160"/>
      <c r="I51" s="160"/>
      <c r="J51" s="161"/>
    </row>
    <row r="52" spans="1:10" x14ac:dyDescent="0.35">
      <c r="A52" s="47" t="s">
        <v>109</v>
      </c>
      <c r="B52" s="22"/>
      <c r="C52" s="162" t="s">
        <v>128</v>
      </c>
      <c r="D52" s="163"/>
      <c r="E52" s="164"/>
      <c r="F52" s="30" t="s">
        <v>78</v>
      </c>
      <c r="G52" s="165">
        <v>44021</v>
      </c>
      <c r="H52" s="166"/>
      <c r="I52" s="166"/>
      <c r="J52" s="167"/>
    </row>
    <row r="53" spans="1:10" ht="15.5" thickBot="1" x14ac:dyDescent="0.45">
      <c r="A53" s="112" t="s">
        <v>6</v>
      </c>
      <c r="B53" s="113"/>
      <c r="C53" s="218" t="s">
        <v>131</v>
      </c>
      <c r="D53" s="219"/>
      <c r="E53" s="220"/>
      <c r="F53" s="114" t="s">
        <v>79</v>
      </c>
      <c r="G53" s="221"/>
      <c r="H53" s="222"/>
      <c r="I53" s="222"/>
      <c r="J53" s="223"/>
    </row>
    <row r="54" spans="1:10" ht="8.5" customHeight="1" x14ac:dyDescent="0.35">
      <c r="A54" s="54"/>
      <c r="B54" s="54"/>
      <c r="C54" s="54"/>
      <c r="D54" s="54"/>
      <c r="E54" s="54"/>
      <c r="F54" s="115"/>
      <c r="G54" s="54"/>
      <c r="H54" s="54"/>
      <c r="I54" s="54"/>
      <c r="J54" s="54"/>
    </row>
    <row r="55" spans="1:10" ht="15" customHeight="1" x14ac:dyDescent="0.35">
      <c r="A55" s="42" t="s">
        <v>80</v>
      </c>
      <c r="B55" s="35"/>
      <c r="C55" s="131" t="s">
        <v>135</v>
      </c>
      <c r="D55" s="132"/>
      <c r="E55" s="132"/>
      <c r="F55" s="132"/>
      <c r="G55" s="132"/>
      <c r="H55" s="132"/>
      <c r="I55" s="132"/>
      <c r="J55" s="133"/>
    </row>
    <row r="56" spans="1:10" ht="15" customHeight="1" x14ac:dyDescent="0.35">
      <c r="A56" s="127" t="s">
        <v>134</v>
      </c>
      <c r="B56" s="54"/>
      <c r="C56" s="137" t="s">
        <v>140</v>
      </c>
      <c r="D56" s="138"/>
      <c r="E56" s="138"/>
      <c r="F56" s="138"/>
      <c r="G56" s="138"/>
      <c r="H56" s="138"/>
      <c r="I56" s="138"/>
      <c r="J56" s="139"/>
    </row>
    <row r="57" spans="1:10" ht="15" customHeight="1" x14ac:dyDescent="0.35">
      <c r="A57" s="53"/>
      <c r="B57" s="54"/>
      <c r="C57" s="134" t="s">
        <v>141</v>
      </c>
      <c r="D57" s="135"/>
      <c r="E57" s="135"/>
      <c r="F57" s="135"/>
      <c r="G57" s="135"/>
      <c r="H57" s="135"/>
      <c r="I57" s="135"/>
      <c r="J57" s="136"/>
    </row>
    <row r="58" spans="1:10" x14ac:dyDescent="0.35">
      <c r="A58" s="42" t="s">
        <v>81</v>
      </c>
      <c r="B58" s="35"/>
      <c r="C58" s="131" t="s">
        <v>142</v>
      </c>
      <c r="D58" s="132"/>
      <c r="E58" s="132"/>
      <c r="F58" s="132"/>
      <c r="G58" s="132"/>
      <c r="H58" s="132"/>
      <c r="I58" s="132"/>
      <c r="J58" s="133"/>
    </row>
    <row r="59" spans="1:10" x14ac:dyDescent="0.35">
      <c r="A59" s="53"/>
      <c r="B59" s="54"/>
      <c r="C59" s="137" t="s">
        <v>143</v>
      </c>
      <c r="D59" s="138"/>
      <c r="E59" s="138"/>
      <c r="F59" s="138"/>
      <c r="G59" s="138"/>
      <c r="H59" s="138"/>
      <c r="I59" s="138"/>
      <c r="J59" s="139"/>
    </row>
    <row r="60" spans="1:10" x14ac:dyDescent="0.35">
      <c r="A60" s="48"/>
      <c r="B60" s="26"/>
      <c r="C60" s="140" t="s">
        <v>144</v>
      </c>
      <c r="D60" s="141"/>
      <c r="E60" s="141"/>
      <c r="F60" s="141"/>
      <c r="G60" s="141"/>
      <c r="H60" s="141"/>
      <c r="I60" s="141"/>
      <c r="J60" s="142"/>
    </row>
    <row r="61" spans="1:10" x14ac:dyDescent="0.35">
      <c r="A61" s="53" t="s">
        <v>82</v>
      </c>
      <c r="B61" s="12"/>
      <c r="C61" s="143" t="s">
        <v>83</v>
      </c>
      <c r="D61" s="144"/>
      <c r="E61" s="116" t="s">
        <v>84</v>
      </c>
      <c r="F61" s="145" t="s">
        <v>85</v>
      </c>
      <c r="G61" s="146"/>
      <c r="H61" s="147" t="s">
        <v>86</v>
      </c>
      <c r="I61" s="148"/>
      <c r="J61" s="149"/>
    </row>
    <row r="62" spans="1:10" x14ac:dyDescent="0.35">
      <c r="A62" s="42" t="s">
        <v>87</v>
      </c>
      <c r="B62" s="37"/>
      <c r="C62" s="131" t="s">
        <v>152</v>
      </c>
      <c r="D62" s="132"/>
      <c r="E62" s="132"/>
      <c r="F62" s="132"/>
      <c r="G62" s="132"/>
      <c r="H62" s="132"/>
      <c r="I62" s="132"/>
      <c r="J62" s="133"/>
    </row>
    <row r="63" spans="1:10" x14ac:dyDescent="0.35">
      <c r="A63" s="53"/>
      <c r="B63" s="12"/>
      <c r="C63" s="137"/>
      <c r="D63" s="138"/>
      <c r="E63" s="138"/>
      <c r="F63" s="138"/>
      <c r="G63" s="138"/>
      <c r="H63" s="138"/>
      <c r="I63" s="138"/>
      <c r="J63" s="139"/>
    </row>
    <row r="64" spans="1:10" x14ac:dyDescent="0.35">
      <c r="A64" s="48"/>
      <c r="B64" s="32"/>
      <c r="C64" s="134"/>
      <c r="D64" s="135"/>
      <c r="E64" s="135"/>
      <c r="F64" s="135"/>
      <c r="G64" s="135"/>
      <c r="H64" s="135"/>
      <c r="I64" s="135"/>
      <c r="J64" s="136"/>
    </row>
    <row r="65" spans="1:10" x14ac:dyDescent="0.35">
      <c r="A65" s="42" t="s">
        <v>80</v>
      </c>
      <c r="B65" s="35"/>
      <c r="C65" s="131" t="s">
        <v>145</v>
      </c>
      <c r="D65" s="132"/>
      <c r="E65" s="132"/>
      <c r="F65" s="132"/>
      <c r="G65" s="132"/>
      <c r="H65" s="132"/>
      <c r="I65" s="132"/>
      <c r="J65" s="133"/>
    </row>
    <row r="66" spans="1:10" x14ac:dyDescent="0.35">
      <c r="A66" s="127" t="s">
        <v>130</v>
      </c>
      <c r="B66" s="54"/>
      <c r="C66" s="137"/>
      <c r="D66" s="138"/>
      <c r="E66" s="138"/>
      <c r="F66" s="138"/>
      <c r="G66" s="138"/>
      <c r="H66" s="138"/>
      <c r="I66" s="138"/>
      <c r="J66" s="139"/>
    </row>
    <row r="67" spans="1:10" x14ac:dyDescent="0.35">
      <c r="A67" s="53"/>
      <c r="B67" s="54"/>
      <c r="C67" s="134"/>
      <c r="D67" s="135"/>
      <c r="E67" s="135"/>
      <c r="F67" s="135"/>
      <c r="G67" s="135"/>
      <c r="H67" s="135"/>
      <c r="I67" s="135"/>
      <c r="J67" s="136"/>
    </row>
    <row r="68" spans="1:10" x14ac:dyDescent="0.35">
      <c r="A68" s="42" t="s">
        <v>81</v>
      </c>
      <c r="B68" s="35"/>
      <c r="C68" s="131" t="s">
        <v>146</v>
      </c>
      <c r="D68" s="132"/>
      <c r="E68" s="132"/>
      <c r="F68" s="132"/>
      <c r="G68" s="132"/>
      <c r="H68" s="132"/>
      <c r="I68" s="132"/>
      <c r="J68" s="133"/>
    </row>
    <row r="69" spans="1:10" x14ac:dyDescent="0.35">
      <c r="A69" s="53"/>
      <c r="B69" s="54"/>
      <c r="C69" s="137" t="s">
        <v>147</v>
      </c>
      <c r="D69" s="138"/>
      <c r="E69" s="138"/>
      <c r="F69" s="138"/>
      <c r="G69" s="138"/>
      <c r="H69" s="138"/>
      <c r="I69" s="138"/>
      <c r="J69" s="139"/>
    </row>
    <row r="70" spans="1:10" x14ac:dyDescent="0.35">
      <c r="A70" s="48"/>
      <c r="B70" s="26"/>
      <c r="C70" s="134"/>
      <c r="D70" s="135"/>
      <c r="E70" s="135"/>
      <c r="F70" s="135"/>
      <c r="G70" s="135"/>
      <c r="H70" s="135"/>
      <c r="I70" s="135"/>
      <c r="J70" s="136"/>
    </row>
    <row r="71" spans="1:10" x14ac:dyDescent="0.35">
      <c r="A71" s="53" t="s">
        <v>82</v>
      </c>
      <c r="B71" s="12"/>
      <c r="C71" s="143" t="s">
        <v>83</v>
      </c>
      <c r="D71" s="144"/>
      <c r="E71" s="116" t="s">
        <v>84</v>
      </c>
      <c r="F71" s="147" t="s">
        <v>85</v>
      </c>
      <c r="G71" s="149"/>
      <c r="H71" s="143" t="s">
        <v>86</v>
      </c>
      <c r="I71" s="156"/>
      <c r="J71" s="144"/>
    </row>
    <row r="72" spans="1:10" x14ac:dyDescent="0.35">
      <c r="A72" s="42" t="s">
        <v>87</v>
      </c>
      <c r="B72" s="37"/>
      <c r="C72" s="131" t="s">
        <v>153</v>
      </c>
      <c r="D72" s="132"/>
      <c r="E72" s="132"/>
      <c r="F72" s="132"/>
      <c r="G72" s="132"/>
      <c r="H72" s="132"/>
      <c r="I72" s="132"/>
      <c r="J72" s="133"/>
    </row>
    <row r="73" spans="1:10" x14ac:dyDescent="0.35">
      <c r="A73" s="117"/>
      <c r="B73" s="118"/>
      <c r="C73" s="150"/>
      <c r="D73" s="151"/>
      <c r="E73" s="151"/>
      <c r="F73" s="151"/>
      <c r="G73" s="151"/>
      <c r="H73" s="151"/>
      <c r="I73" s="151"/>
      <c r="J73" s="152"/>
    </row>
    <row r="74" spans="1:10" x14ac:dyDescent="0.35">
      <c r="A74" s="119"/>
      <c r="B74" s="120"/>
      <c r="C74" s="153"/>
      <c r="D74" s="154"/>
      <c r="E74" s="154"/>
      <c r="F74" s="154"/>
      <c r="G74" s="154"/>
      <c r="H74" s="154"/>
      <c r="I74" s="154"/>
      <c r="J74" s="155"/>
    </row>
  </sheetData>
  <mergeCells count="68">
    <mergeCell ref="C53:E53"/>
    <mergeCell ref="G53:J53"/>
    <mergeCell ref="C55:J55"/>
    <mergeCell ref="C56:J56"/>
    <mergeCell ref="C57:J57"/>
    <mergeCell ref="C72:J72"/>
    <mergeCell ref="C69:J69"/>
    <mergeCell ref="G40:I40"/>
    <mergeCell ref="G33:I33"/>
    <mergeCell ref="A33:B33"/>
    <mergeCell ref="A40:B40"/>
    <mergeCell ref="A49:J49"/>
    <mergeCell ref="G38:I38"/>
    <mergeCell ref="A47:J47"/>
    <mergeCell ref="B9:D9"/>
    <mergeCell ref="B10:D10"/>
    <mergeCell ref="B4:D4"/>
    <mergeCell ref="G32:I32"/>
    <mergeCell ref="G29:I29"/>
    <mergeCell ref="G28:I28"/>
    <mergeCell ref="G26:I26"/>
    <mergeCell ref="D27:E27"/>
    <mergeCell ref="E5:J5"/>
    <mergeCell ref="F7:J7"/>
    <mergeCell ref="F8:J8"/>
    <mergeCell ref="F9:J9"/>
    <mergeCell ref="F10:J10"/>
    <mergeCell ref="I19:J20"/>
    <mergeCell ref="A7:D7"/>
    <mergeCell ref="A8:D8"/>
    <mergeCell ref="G31:I31"/>
    <mergeCell ref="B6:D6"/>
    <mergeCell ref="C5:D5"/>
    <mergeCell ref="E51:J51"/>
    <mergeCell ref="C52:E52"/>
    <mergeCell ref="G52:J52"/>
    <mergeCell ref="A45:J45"/>
    <mergeCell ref="A46:J46"/>
    <mergeCell ref="A48:J48"/>
    <mergeCell ref="A50:J50"/>
    <mergeCell ref="A21:D22"/>
    <mergeCell ref="G21:G22"/>
    <mergeCell ref="A41:B41"/>
    <mergeCell ref="D43:E43"/>
    <mergeCell ref="G41:I41"/>
    <mergeCell ref="G43:I43"/>
    <mergeCell ref="D44:J44"/>
    <mergeCell ref="G39:I39"/>
    <mergeCell ref="C65:J65"/>
    <mergeCell ref="C66:J66"/>
    <mergeCell ref="C73:J73"/>
    <mergeCell ref="C74:J74"/>
    <mergeCell ref="C71:D71"/>
    <mergeCell ref="F71:G71"/>
    <mergeCell ref="H71:J71"/>
    <mergeCell ref="C67:J67"/>
    <mergeCell ref="C68:J68"/>
    <mergeCell ref="C70:J70"/>
    <mergeCell ref="B51:C51"/>
    <mergeCell ref="C58:J58"/>
    <mergeCell ref="C64:J64"/>
    <mergeCell ref="C59:J59"/>
    <mergeCell ref="C60:J60"/>
    <mergeCell ref="C61:D61"/>
    <mergeCell ref="F61:G61"/>
    <mergeCell ref="H61:J61"/>
    <mergeCell ref="C62:J62"/>
    <mergeCell ref="C63:J63"/>
  </mergeCells>
  <phoneticPr fontId="1" type="noConversion"/>
  <pageMargins left="0.7" right="0.7" top="0.75" bottom="0.75" header="0.3" footer="0.3"/>
  <pageSetup paperSize="9" orientation="portrait" horizontalDpi="300" verticalDpi="300" r:id="rId1"/>
  <headerFooter>
    <oddFooter>&amp;L&amp;8Document Ref: CBS-F-037 - Site Audit Template rev00
THIS DOCUMENT WILL BE ISSUED IN A CONTROLLED MANNER BUT WILL BE CONSIDERED UNCONTROLLED ONCE PRINTED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47"/>
  <sheetViews>
    <sheetView view="pageBreakPreview" zoomScaleNormal="100" zoomScaleSheetLayoutView="100" workbookViewId="0">
      <selection activeCell="A6" sqref="A6:XFD6"/>
    </sheetView>
  </sheetViews>
  <sheetFormatPr defaultColWidth="8.81640625" defaultRowHeight="14.5" x14ac:dyDescent="0.35"/>
  <cols>
    <col min="1" max="16384" width="8.81640625" style="121"/>
  </cols>
  <sheetData>
    <row r="2" spans="1:5" x14ac:dyDescent="0.35">
      <c r="A2" s="122" t="s">
        <v>148</v>
      </c>
    </row>
    <row r="3" spans="1:5" x14ac:dyDescent="0.35">
      <c r="A3" s="122" t="s">
        <v>149</v>
      </c>
      <c r="E3" s="122"/>
    </row>
    <row r="4" spans="1:5" x14ac:dyDescent="0.35">
      <c r="A4" s="122" t="s">
        <v>150</v>
      </c>
    </row>
    <row r="7" spans="1:5" x14ac:dyDescent="0.35">
      <c r="A7" s="122" t="s">
        <v>151</v>
      </c>
    </row>
    <row r="13" spans="1:5" x14ac:dyDescent="0.35">
      <c r="E13" s="122"/>
    </row>
    <row r="14" spans="1:5" x14ac:dyDescent="0.35">
      <c r="E14" s="122"/>
    </row>
    <row r="15" spans="1:5" x14ac:dyDescent="0.35">
      <c r="A15" s="122"/>
      <c r="D15" s="122"/>
    </row>
    <row r="16" spans="1:5" x14ac:dyDescent="0.35">
      <c r="A16" s="122"/>
      <c r="D16" s="122"/>
    </row>
    <row r="18" spans="1:4" x14ac:dyDescent="0.35">
      <c r="A18" s="122"/>
    </row>
    <row r="19" spans="1:4" x14ac:dyDescent="0.35">
      <c r="A19" s="122"/>
    </row>
    <row r="20" spans="1:4" x14ac:dyDescent="0.35">
      <c r="A20" s="122"/>
    </row>
    <row r="21" spans="1:4" x14ac:dyDescent="0.35">
      <c r="A21" s="122"/>
    </row>
    <row r="23" spans="1:4" x14ac:dyDescent="0.35">
      <c r="D23" s="122"/>
    </row>
    <row r="24" spans="1:4" x14ac:dyDescent="0.35">
      <c r="D24" s="122"/>
    </row>
    <row r="26" spans="1:4" x14ac:dyDescent="0.35">
      <c r="A26" s="122"/>
    </row>
    <row r="27" spans="1:4" x14ac:dyDescent="0.35">
      <c r="A27" s="122"/>
    </row>
    <row r="31" spans="1:4" x14ac:dyDescent="0.35">
      <c r="A31" s="122"/>
    </row>
    <row r="32" spans="1:4" x14ac:dyDescent="0.35">
      <c r="A32" s="122"/>
    </row>
    <row r="34" spans="1:4" x14ac:dyDescent="0.35">
      <c r="D34" s="122"/>
    </row>
    <row r="35" spans="1:4" x14ac:dyDescent="0.35">
      <c r="D35" s="122"/>
    </row>
    <row r="41" spans="1:4" x14ac:dyDescent="0.35">
      <c r="A41" s="122"/>
    </row>
    <row r="42" spans="1:4" x14ac:dyDescent="0.35">
      <c r="A42" s="122"/>
    </row>
    <row r="47" spans="1:4" x14ac:dyDescent="0.35">
      <c r="A47" s="122"/>
    </row>
  </sheetData>
  <printOptions heading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Sheet1!OLE_LINK3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Bromley</dc:creator>
  <cp:lastModifiedBy>44788</cp:lastModifiedBy>
  <cp:lastPrinted>2020-09-04T11:46:40Z</cp:lastPrinted>
  <dcterms:created xsi:type="dcterms:W3CDTF">2009-03-10T08:54:02Z</dcterms:created>
  <dcterms:modified xsi:type="dcterms:W3CDTF">2020-09-04T11:47:17Z</dcterms:modified>
</cp:coreProperties>
</file>